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longxin\SHARE\A1-全部工程\學校\114年\11402-聖隆-雲林縣土庫鎮後埔國民小學A11404-02-後埔國小113年度充實設施設備-改善校園環境工程\C1-施工日誌\"/>
    </mc:Choice>
  </mc:AlternateContent>
  <bookViews>
    <workbookView xWindow="0" yWindow="0" windowWidth="28800" windowHeight="12165" tabRatio="741" firstSheet="4" activeTab="4"/>
  </bookViews>
  <sheets>
    <sheet name="temp" sheetId="62" state="hidden" r:id="rId1"/>
    <sheet name="摘要" sheetId="67" state="hidden" r:id="rId2"/>
    <sheet name="temp2" sheetId="942" state="hidden" r:id="rId3"/>
    <sheet name="資料查詢" sheetId="1154" state="hidden" r:id="rId4"/>
    <sheet name="施工日誌2" sheetId="1153" r:id="rId5"/>
    <sheet name="監造報表2" sheetId="1152" r:id="rId6"/>
    <sheet name="工料" sheetId="1151" r:id="rId7"/>
    <sheet name="記事" sheetId="1150" r:id="rId8"/>
    <sheet name="No1" sheetId="1149" r:id="rId9"/>
    <sheet name="No2" sheetId="1148" r:id="rId10"/>
    <sheet name="No3" sheetId="1147" r:id="rId11"/>
    <sheet name="基本資料" sheetId="23" r:id="rId12"/>
    <sheet name="進度表輸入" sheetId="24" state="hidden" r:id="rId13"/>
    <sheet name="檢驗項目" sheetId="396" state="hidden" r:id="rId14"/>
    <sheet name="材料管理" sheetId="66" state="hidden" r:id="rId15"/>
    <sheet name="工機輸入" sheetId="654" state="hidden" r:id="rId16"/>
    <sheet name="契約詳細表" sheetId="655" state="hidden" r:id="rId17"/>
    <sheet name="工作天計算" sheetId="818" state="hidden" r:id="rId18"/>
  </sheets>
  <functionGroups builtInGroupCount="19"/>
  <externalReferences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</externalReferences>
  <definedNames>
    <definedName name="\0">[1]預算書10!#REF!</definedName>
    <definedName name="\1">[1]預算書10!#REF!</definedName>
    <definedName name="\11">'[2]預算書封面 '!$E$7</definedName>
    <definedName name="\2">[1]預算書10!#REF!</definedName>
    <definedName name="\22">'[2]預算書封面 '!$M$8</definedName>
    <definedName name="\33">'[2]預算書封面 '!$M$9</definedName>
    <definedName name="\a">'[3]數量計算表(乙)'!#REF!</definedName>
    <definedName name="\b">[4]預算書10!#REF!</definedName>
    <definedName name="\c">[4]預算書10!#REF!</definedName>
    <definedName name="\d">[4]預算書10!#REF!</definedName>
    <definedName name="\e">[4]預算書10!#REF!</definedName>
    <definedName name="\f">[4]預算書10!#REF!</definedName>
    <definedName name="\g">[4]預算書10!#REF!</definedName>
    <definedName name="\h">[4]預算書10!#REF!</definedName>
    <definedName name="\i">#REF!</definedName>
    <definedName name="\j">#REF!</definedName>
    <definedName name="\k">[1]預算書10!#REF!</definedName>
    <definedName name="\l">#REF!</definedName>
    <definedName name="\m">#REF!</definedName>
    <definedName name="\n">#REF!</definedName>
    <definedName name="\o">#REF!</definedName>
    <definedName name="\p">#REF!</definedName>
    <definedName name="\q">#REF!</definedName>
    <definedName name="\r">#N/A</definedName>
    <definedName name="\t">[1]預算書10!#REF!</definedName>
    <definedName name="\w">[1]預算書10!#REF!</definedName>
    <definedName name="\z">[1]預算書10!#REF!</definedName>
    <definedName name="___ast1">#REF!</definedName>
    <definedName name="___ke1" hidden="1">'[5]單價分析表(1-11)'!#REF!</definedName>
    <definedName name="___key2" hidden="1">'[6]單價分析表(1-11)'!#REF!</definedName>
    <definedName name="___key222" hidden="1">'[7]單價分析表(1-11)'!#REF!</definedName>
    <definedName name="___kk1" hidden="1">'[8]單價分析表(1-11)'!#REF!</definedName>
    <definedName name="___ss1" hidden="1">'[8]單價分析表(1-11)'!#REF!</definedName>
    <definedName name="___ste1">#REF!</definedName>
    <definedName name="___su1">#REF!</definedName>
    <definedName name="___su2">#REF!</definedName>
    <definedName name="___su3">#REF!</definedName>
    <definedName name="___su4">#REF!</definedName>
    <definedName name="___tt1">[9]工程預算書!#REF!</definedName>
    <definedName name="___tt2">[9]工程預算書!#REF!</definedName>
    <definedName name="__a1" hidden="1">'[10]單價分析表(1-11)'!#REF!</definedName>
    <definedName name="__a2">[11]工程預算書!#REF!</definedName>
    <definedName name="__a3">[12]工程預算書!#REF!</definedName>
    <definedName name="__a4">#REF!</definedName>
    <definedName name="__a6">#REF!</definedName>
    <definedName name="__ast1">#REF!</definedName>
    <definedName name="__cr1">[13]工程預算書!#REF!</definedName>
    <definedName name="__ke1" hidden="1">'[5]單價分析表(1-11)'!#REF!</definedName>
    <definedName name="__key2" hidden="1">'[6]單價分析表(1-11)'!#REF!</definedName>
    <definedName name="__key222" hidden="1">'[7]單價分析表(1-11)'!#REF!</definedName>
    <definedName name="__kk1" hidden="1">'[8]單價分析表(1-11)'!#REF!</definedName>
    <definedName name="__ss1" hidden="1">'[8]單價分析表(1-11)'!#REF!</definedName>
    <definedName name="__ste1">#REF!</definedName>
    <definedName name="__su1">#REF!</definedName>
    <definedName name="__su2">#REF!</definedName>
    <definedName name="__su3">#REF!</definedName>
    <definedName name="__su4">#REF!</definedName>
    <definedName name="__tt1">[9]工程預算書!#REF!</definedName>
    <definedName name="__tt2">[9]工程預算書!#REF!</definedName>
    <definedName name="_1_0_S" hidden="1">'[14]單價分析表(1-11)'!#REF!</definedName>
    <definedName name="_2a1_" hidden="1">'[10]單價分析表(1-11)'!#REF!</definedName>
    <definedName name="_3a2_">[11]工程預算書!#REF!</definedName>
    <definedName name="_4a3_">[12]工程預算書!#REF!</definedName>
    <definedName name="_5a4_">#REF!</definedName>
    <definedName name="_6a6_">#REF!</definedName>
    <definedName name="_7cr1_">[13]工程預算書!#REF!</definedName>
    <definedName name="_a1" hidden="1">'[10]單價分析表(1-11)'!#REF!</definedName>
    <definedName name="_a2">[11]工程預算書!#REF!</definedName>
    <definedName name="_a3">[12]工程預算書!#REF!</definedName>
    <definedName name="_a4">#REF!</definedName>
    <definedName name="_a6">#REF!</definedName>
    <definedName name="_ast1">#REF!</definedName>
    <definedName name="_c1">[15]計算工作表!#REF!</definedName>
    <definedName name="_cr1">[13]工程預算書!#REF!</definedName>
    <definedName name="_Fill" hidden="1">#REF!</definedName>
    <definedName name="_g1">[15]計算工作表!#REF!</definedName>
    <definedName name="_g2">[15]計算工作表!#REF!</definedName>
    <definedName name="_j123">[15]計算工作表!#REF!</definedName>
    <definedName name="_j129">[15]計算工作表!#REF!</definedName>
    <definedName name="_ke1" hidden="1">'[5]單價分析表(1-11)'!#REF!</definedName>
    <definedName name="_Key1" hidden="1">'[5]單價分析表(1-11)'!#REF!</definedName>
    <definedName name="_key2" hidden="1">'[6]單價分析表(1-11)'!#REF!</definedName>
    <definedName name="_key222" hidden="1">'[7]單價分析表(1-11)'!#REF!</definedName>
    <definedName name="_kk1" hidden="1">'[8]單價分析表(1-11)'!#REF!</definedName>
    <definedName name="_Order1" hidden="1">255</definedName>
    <definedName name="_Regression_Int" hidden="1">1</definedName>
    <definedName name="_Regression_Out" hidden="1">#REF!</definedName>
    <definedName name="_Regression_X" hidden="1">#REF!</definedName>
    <definedName name="_Regression_Y" hidden="1">#REF!</definedName>
    <definedName name="_s4">[15]計算工作表!#REF!</definedName>
    <definedName name="_Sort" hidden="1">'[5]單價分析表(1-11)'!#REF!</definedName>
    <definedName name="_sort2" hidden="1">'[16]單價分析表(1-11)'!#REF!</definedName>
    <definedName name="_ss1" hidden="1">'[8]單價分析表(1-11)'!#REF!</definedName>
    <definedName name="_ste1">#REF!</definedName>
    <definedName name="_su1">#REF!</definedName>
    <definedName name="_su2">#REF!</definedName>
    <definedName name="_su3">#REF!</definedName>
    <definedName name="_su4">#REF!</definedName>
    <definedName name="_Table1_In1" hidden="1">#REF!</definedName>
    <definedName name="_Table1_Out" hidden="1">#REF!</definedName>
    <definedName name="_tt1">[9]工程預算書!#REF!</definedName>
    <definedName name="_tt2">[9]工程預算書!#REF!</definedName>
    <definedName name="_w1">[15]計算工作表!#REF!</definedName>
    <definedName name="A">#REF!</definedName>
    <definedName name="aa">#REF!</definedName>
    <definedName name="aaa" hidden="1">'[6]單價分析表(1-11)'!#REF!</definedName>
    <definedName name="aaaa">#REF!</definedName>
    <definedName name="aaaaa">[17]基本單價!$C$4</definedName>
    <definedName name="aaaaaaaa">#REF!</definedName>
    <definedName name="aaaaaaaaaaa">#REF!</definedName>
    <definedName name="aaaaaaaaaaaa">#REF!</definedName>
    <definedName name="AC面層5CM單價">#REF!</definedName>
    <definedName name="AC面層舖設5CM" xlm="1">#REF!</definedName>
    <definedName name="AC面層舖設8CM" xlm="1">#REF!</definedName>
    <definedName name="ae">#REF!</definedName>
    <definedName name="AN">#REF!</definedName>
    <definedName name="AP">#REF!</definedName>
    <definedName name="A型護欄單價">#REF!</definedName>
    <definedName name="A區資料篩選">[18]!A區資料篩選</definedName>
    <definedName name="A護N">#REF!</definedName>
    <definedName name="A護P">#REF!</definedName>
    <definedName name="B">#REF!</definedName>
    <definedName name="BBC">'[19]數量計算表(乙)'!#REF!</definedName>
    <definedName name="BN">#REF!</definedName>
    <definedName name="BP">#REF!</definedName>
    <definedName name="bv">#REF!</definedName>
    <definedName name="B型護欄單價">#REF!</definedName>
    <definedName name="B區資料篩選">[18]!B區資料篩選</definedName>
    <definedName name="B護N">#REF!</definedName>
    <definedName name="B護P">#REF!</definedName>
    <definedName name="CN">#REF!</definedName>
    <definedName name="CP">#REF!</definedName>
    <definedName name="C型護欄單價">#REF!</definedName>
    <definedName name="C區資料篩選">[18]!C區資料篩選</definedName>
    <definedName name="D">#REF!</definedName>
    <definedName name="D1鋁門_90_270_中華鋁門香檳色1000型或正字同格品">#REF!</definedName>
    <definedName name="D4鋁門_1100_210_中華鋁門香檳色1000型或正字同格品">#REF!</definedName>
    <definedName name="D6鋁門_80_160_鋁門">#REF!</definedName>
    <definedName name="dasf">[20]工程預算書!#REF!</definedName>
    <definedName name="DD">#REF!</definedName>
    <definedName name="DI鋁門_410_270_中華鋁門香檳色1000型或正字同格品">#REF!</definedName>
    <definedName name="dsf">#REF!</definedName>
    <definedName name="D區資料篩選">[18]!D區資料篩選</definedName>
    <definedName name="E">#REF!</definedName>
    <definedName name="eee">[21]工程預算書!#REF!</definedName>
    <definedName name="F">#REF!</definedName>
    <definedName name="ff" hidden="1">#REF!</definedName>
    <definedName name="fff" hidden="1">#REF!</definedName>
    <definedName name="ffff">#REF!</definedName>
    <definedName name="FM">#REF!</definedName>
    <definedName name="g">#REF!</definedName>
    <definedName name="h">#REF!</definedName>
    <definedName name="H1_">#REF!</definedName>
    <definedName name="H2_">#REF!</definedName>
    <definedName name="H3_">#REF!</definedName>
    <definedName name="hh">[22]工程預算書!#REF!</definedName>
    <definedName name="i">[23]工程預算書!#REF!</definedName>
    <definedName name="j">#REF!</definedName>
    <definedName name="k">#REF!</definedName>
    <definedName name="key" hidden="1">'[24]單價分析表(1-11)'!#REF!</definedName>
    <definedName name="kkey1" hidden="1">'[25]單價分析表(1-11)'!#REF!</definedName>
    <definedName name="kkk">#REF!</definedName>
    <definedName name="o">#REF!</definedName>
    <definedName name="OP">#REF!</definedName>
    <definedName name="p">#REF!</definedName>
    <definedName name="PC椿N">#REF!</definedName>
    <definedName name="PC樁12">#REF!</definedName>
    <definedName name="PH">#REF!</definedName>
    <definedName name="po">#REF!</definedName>
    <definedName name="pp" hidden="1">'[24]單價分析表(1-11)'!#REF!</definedName>
    <definedName name="_xlnm.Print_Area" localSheetId="4">施工日誌2!$A$1:$K$68</definedName>
    <definedName name="_xlnm.Print_Area" localSheetId="1">摘要!$B$1:$F$30</definedName>
    <definedName name="_xlnm.Print_Area" localSheetId="5">監造報表2!$A$1:$K$48</definedName>
    <definedName name="_xlnm.Print_Area">#REF!</definedName>
    <definedName name="Print_Area_MI">#REF!</definedName>
    <definedName name="Print_Area2">#REF!</definedName>
    <definedName name="_xlnm.Print_Titles" localSheetId="16">契約詳細表!$A$1:$IV$8</definedName>
    <definedName name="_xlnm.Print_Titles" localSheetId="4">施工日誌2!$1:$7</definedName>
    <definedName name="_xlnm.Print_Titles" localSheetId="5">監造報表2!$1:$7</definedName>
    <definedName name="PVCP">#REF!</definedName>
    <definedName name="q">[1]預算書10!#REF!</definedName>
    <definedName name="qq">[20]工程預算書!#REF!</definedName>
    <definedName name="qqq" hidden="1">'[6]單價分析表(1-11)'!#REF!</definedName>
    <definedName name="RE">#REF!</definedName>
    <definedName name="_xlnm.Recorder">#REF!</definedName>
    <definedName name="s" hidden="1">'[6]單價分析表(1-11)'!#REF!</definedName>
    <definedName name="sa">#REF!</definedName>
    <definedName name="sf">#REF!</definedName>
    <definedName name="sor" hidden="1">'[5]單價分析表(1-11)'!#REF!</definedName>
    <definedName name="sort" hidden="1">'[24]單價分析表(1-11)'!#REF!</definedName>
    <definedName name="sort1" hidden="1">'[6]單價分析表(1-11)'!#REF!</definedName>
    <definedName name="sort2" hidden="1">'[16]單價分析表(1-11)'!#REF!</definedName>
    <definedName name="srrt" hidden="1">'[7]單價分析表(1-11)'!#REF!</definedName>
    <definedName name="ss">#REF!</definedName>
    <definedName name="sss">[15]計算工作表!#REF!</definedName>
    <definedName name="STEEL">#REF!</definedName>
    <definedName name="SUB_1">#REF!</definedName>
    <definedName name="SUB_2">#REF!</definedName>
    <definedName name="SUB_3">#REF!</definedName>
    <definedName name="SUB_4">#REF!</definedName>
    <definedName name="TT">[9]工程預算書!#REF!</definedName>
    <definedName name="T型">#REF!</definedName>
    <definedName name="T型N">#REF!</definedName>
    <definedName name="untol">[26]單價總表!$A$2:$F$341</definedName>
    <definedName name="v">#REF!</definedName>
    <definedName name="vv">#REF!</definedName>
    <definedName name="vvx">#REF!</definedName>
    <definedName name="www">[9]工程預算書!#REF!</definedName>
    <definedName name="zz">#REF!</definedName>
    <definedName name="一三砂漿">#REF!</definedName>
    <definedName name="一般技工">#REF!</definedName>
    <definedName name="一混凝土抗壓強度">[27]內容!#REF!</definedName>
    <definedName name="一號明細">#REF!</definedName>
    <definedName name="乙種模版">#REF!</definedName>
    <definedName name="乙種模型損耗" xlm="1">#REF!</definedName>
    <definedName name="乙種模型損耗單價">#REF!</definedName>
    <definedName name="乙模N">#REF!</definedName>
    <definedName name="乙模P">#REF!</definedName>
    <definedName name="二號明細">#REF!</definedName>
    <definedName name="二瀝青舖面厚度">[27]內容!#REF!</definedName>
    <definedName name="三工地密度">[27]內容!#REF!</definedName>
    <definedName name="三號明細">#REF!</definedName>
    <definedName name="三輪壓路機">[28]基本單價!$C$17</definedName>
    <definedName name="土方">[21]工程預算書!#REF!</definedName>
    <definedName name="土方1">#REF!</definedName>
    <definedName name="土方計算">'[3]數量計算表(乙)'!#REF!</definedName>
    <definedName name="工3">#REF!</definedName>
    <definedName name="工地密度">[27]內容!#REF!</definedName>
    <definedName name="工別">[27]內容!#REF!</definedName>
    <definedName name="工程名稱">[17]基本單價!$C$4</definedName>
    <definedName name="工程地點">[17]基本單價!$C$5</definedName>
    <definedName name="工程管理計算2">[1]預算書10!#REF!</definedName>
    <definedName name="工程標示">#REF!</definedName>
    <definedName name="不銹鋼人孔蓋">#REF!</definedName>
    <definedName name="五含油量檢測">[27]內容!#REF!</definedName>
    <definedName name="六鋼筋試驗">[27]內容!#REF!</definedName>
    <definedName name="日期">[27]內容!$J$7:$IV$7</definedName>
    <definedName name="木N">#REF!</definedName>
    <definedName name="木P">#REF!</definedName>
    <definedName name="毛氈N">#REF!</definedName>
    <definedName name="出工數">[27]內容!#REF!</definedName>
    <definedName name="半技工">[29]基本單價!$C$8</definedName>
    <definedName name="四氯離子檢測">[27]內容!#REF!</definedName>
    <definedName name="巨集1" description="羅金錡於 1997/5/24 錄製的巨集" xlm="1">#REF!</definedName>
    <definedName name="打椿P">#REF!</definedName>
    <definedName name="本日完成">[27]內容!$J$4:$IV$4</definedName>
    <definedName name="甲種模版">#REF!</definedName>
    <definedName name="甲種模型損耗" xlm="1">#REF!</definedName>
    <definedName name="甲種模型損耗單價">#REF!</definedName>
    <definedName name="甲模N">#REF!</definedName>
    <definedName name="甲模P">#REF!</definedName>
    <definedName name="石N">#REF!</definedName>
    <definedName name="石p">#REF!</definedName>
    <definedName name="回填方">#REF!</definedName>
    <definedName name="地抹宜蘭石">[30]單價分析!#REF!</definedName>
    <definedName name="利息">#REF!</definedName>
    <definedName name="含油量檢測">[27]內容!#REF!</definedName>
    <definedName name="技工">[29]基本單價!$C$9</definedName>
    <definedName name="其他事項紀錄">[27]內容!#REF!</definedName>
    <definedName name="坡N">#REF!</definedName>
    <definedName name="坡P">#REF!</definedName>
    <definedName name="坡面工人工15" xlm="1">#REF!</definedName>
    <definedName name="坡面工人工15單價">#REF!</definedName>
    <definedName name="坡面工人工20" xlm="1">#REF!</definedName>
    <definedName name="坡面工人工20單價">#REF!</definedName>
    <definedName name="坡面工人工25" xlm="1">#REF!</definedName>
    <definedName name="坡面工人工25單價">#REF!</definedName>
    <definedName name="坡面工人工單價">#REF!</definedName>
    <definedName name="坡面工機拍15" xlm="1">#REF!</definedName>
    <definedName name="坡面工機拍15單價">#REF!</definedName>
    <definedName name="坡面工機拍20" xlm="1">#REF!</definedName>
    <definedName name="坡面工機拍20單價">#REF!</definedName>
    <definedName name="坡面工機拍25" xlm="1">#REF!</definedName>
    <definedName name="坡面工機拍25單價">#REF!</definedName>
    <definedName name="坡面工機拍25項目" description="羅金錡於 1997/6/6 錄製的巨集" xlm="1">#REF!</definedName>
    <definedName name="坡縫N">#REF!</definedName>
    <definedName name="坡縫P">#REF!</definedName>
    <definedName name="拋用塊石">[31]基本單價!$G$12</definedName>
    <definedName name="拋塊石項目" xlm="1">#REF!</definedName>
    <definedName name="東石">[17]基本單價!$C$5</definedName>
    <definedName name="物價調整費">#REF!</definedName>
    <definedName name="直接成本">#REF!</definedName>
    <definedName name="非粘性土壤夯實" description="羅金錡於 1997/6/6 錄製的巨集" xlm="1">#REF!</definedName>
    <definedName name="非粘性土壤整平夯實單價">#REF!</definedName>
    <definedName name="封面1">[32]基本單價!$C$4</definedName>
    <definedName name="挖土機">[28]基本單價!$C$11</definedName>
    <definedName name="挖方">#REF!</definedName>
    <definedName name="洗石子">[28]基本單價!$G$9</definedName>
    <definedName name="洗砂子">[33]基本單價!$G$10</definedName>
    <definedName name="砂石級配">[33]基本單價!$G$11</definedName>
    <definedName name="砂漿13">#REF!</definedName>
    <definedName name="重要事項紀錄">[27]內容!#REF!</definedName>
    <definedName name="粉刷12">[30]單價分析!#REF!</definedName>
    <definedName name="粉刷13">[30]單價分析!#REF!</definedName>
    <definedName name="基礎卵石">#REF!</definedName>
    <definedName name="排用塊石">[34]基本單價!$G$12</definedName>
    <definedName name="推土機">[28]基本單價!$C$16</definedName>
    <definedName name="淨砂">#REF!</definedName>
    <definedName name="混排塊石" xlm="1">#REF!</definedName>
    <definedName name="混凝土140">[30]單價分析!#REF!</definedName>
    <definedName name="混凝土175" xlm="1">#REF!</definedName>
    <definedName name="混凝土175單價">[29]混凝土175!$I$17</definedName>
    <definedName name="混凝土210" xlm="1">#REF!</definedName>
    <definedName name="混凝土210單價">#REF!</definedName>
    <definedName name="混凝土抗壓強度">[27]內容!#REF!</definedName>
    <definedName name="混凝土塊5t單價">#REF!</definedName>
    <definedName name="混凝土路面工單價">#REF!</definedName>
    <definedName name="清除A區資料">[18]!清除A區資料</definedName>
    <definedName name="清除B區資料">[18]!清除B區資料</definedName>
    <definedName name="清除C區資料">[18]!清除C區資料</definedName>
    <definedName name="清除D區資料">[18]!清除D區資料</definedName>
    <definedName name="清除查詢資料">[18]!清除查詢資料</definedName>
    <definedName name="粘層及透層舖設" xlm="1">#REF!</definedName>
    <definedName name="累計工期">[27]內容!$J$2:$IV$2</definedName>
    <definedName name="累計完成">[27]內容!$J$5:$IV$5</definedName>
    <definedName name="通知辦理事項">[27]內容!#REF!</definedName>
    <definedName name="剩餘工期">[27]內容!$J$3:$IV$3</definedName>
    <definedName name="單位">[35]基本單價!$C$3</definedName>
    <definedName name="單價分析表" xlm="1">#REF!</definedName>
    <definedName name="普通工">[29]基本單價!$C$7</definedName>
    <definedName name="氯離子檢測">[27]內容!#REF!</definedName>
    <definedName name="渡槽鋼筋">#REF!</definedName>
    <definedName name="結構粉刷">[30]單價分析!#REF!</definedName>
    <definedName name="結構模版">#REF!</definedName>
    <definedName name="結構模型損耗" xlm="1">#REF!</definedName>
    <definedName name="結構模型損耗單價">#REF!</definedName>
    <definedName name="填方">#REF!</definedName>
    <definedName name="填石N">#REF!</definedName>
    <definedName name="碎石N">#REF!</definedName>
    <definedName name="碎石P">#REF!</definedName>
    <definedName name="碎石級配">#REF!</definedName>
    <definedName name="補償費">#REF!</definedName>
    <definedName name="補償費1">#REF!</definedName>
    <definedName name="路右擋牆15">#REF!</definedName>
    <definedName name="路右擋牆25">#REF!</definedName>
    <definedName name="路右擋牆35">#REF!</definedName>
    <definedName name="路右擋牆45">#REF!</definedName>
    <definedName name="路右擋牆55">#REF!</definedName>
    <definedName name="路左擋牆17">#REF!</definedName>
    <definedName name="路左擋牆27">#REF!</definedName>
    <definedName name="路左擋牆37">#REF!</definedName>
    <definedName name="路左擋牆47">#REF!</definedName>
    <definedName name="路左擋牆57">#REF!</definedName>
    <definedName name="路左擋牆67">#REF!</definedName>
    <definedName name="路左擋牆77">#REF!</definedName>
    <definedName name="嘉_南_實_業_股_份_有_限_公_司">#REF!</definedName>
    <definedName name="種大葉變葉木單價">#REF!</definedName>
    <definedName name="種馬鞍藤單價">#REF!</definedName>
    <definedName name="種軟枝黃蟬單價">#REF!</definedName>
    <definedName name="種黃槿單價">#REF!</definedName>
    <definedName name="臺灣省自來水公司第三區管理處">#REF!</definedName>
    <definedName name="遠運">#REF!</definedName>
    <definedName name="數量總表">#REF!</definedName>
    <definedName name="舖塊石" xlm="1">#REF!</definedName>
    <definedName name="舖塊石單價">#REF!</definedName>
    <definedName name="舖塊石項目" xlm="1">#REF!</definedName>
    <definedName name="擋土牆">[36]基本單價!$C$4</definedName>
    <definedName name="磚0.5">[30]單價分析!#REF!</definedName>
    <definedName name="鋼P">#REF!</definedName>
    <definedName name="鋼筋">#REF!</definedName>
    <definedName name="鋼筋N">#REF!</definedName>
    <definedName name="鋼筋加工及組立" xlm="1">#REF!</definedName>
    <definedName name="鋼筋加工及組立單價">#REF!</definedName>
    <definedName name="鋼筋試驗">[27]內容!#REF!</definedName>
    <definedName name="鋼筋運費">#REF!</definedName>
    <definedName name="鋼筋數量">#REF!</definedName>
    <definedName name="鋼模">[37]單價分析表12!#REF!</definedName>
    <definedName name="龍宮溪排水系統龍宮溪幹線治理工程">[38]基本單價!$C$4</definedName>
    <definedName name="牆抹宜蘭石">[30]單價分析!#REF!</definedName>
    <definedName name="瀝青混凝土拌合料" xlm="1">#REF!</definedName>
    <definedName name="瀝青舖面厚度">[27]內容!#REF!</definedName>
    <definedName name="灑水車">[28]基本單價!$C$13</definedName>
  </definedNames>
  <calcPr calcId="171027"/>
</workbook>
</file>

<file path=xl/calcChain.xml><?xml version="1.0" encoding="utf-8"?>
<calcChain xmlns="http://schemas.openxmlformats.org/spreadsheetml/2006/main">
  <c r="O10" i="1148" l="1"/>
  <c r="O11" i="1148" s="1"/>
  <c r="O12" i="1148" s="1"/>
  <c r="O13" i="1148" s="1"/>
  <c r="O14" i="1148" s="1"/>
  <c r="O15" i="1148" s="1"/>
  <c r="O16" i="1148" s="1"/>
  <c r="O17" i="1148" s="1"/>
  <c r="O18" i="1148" s="1"/>
  <c r="O19" i="1148" s="1"/>
  <c r="O20" i="1148" s="1"/>
  <c r="O21" i="1148" s="1"/>
  <c r="O22" i="1148" s="1"/>
  <c r="O23" i="1148" s="1"/>
  <c r="O24" i="1148" s="1"/>
  <c r="O25" i="1148" s="1"/>
  <c r="O26" i="1148" s="1"/>
  <c r="O27" i="1148" s="1"/>
  <c r="O28" i="1148" s="1"/>
  <c r="O29" i="1148" s="1"/>
  <c r="O30" i="1148" s="1"/>
  <c r="O31" i="1148" s="1"/>
  <c r="O32" i="1148" s="1"/>
  <c r="O33" i="1148" s="1"/>
  <c r="O34" i="1148" s="1"/>
  <c r="O35" i="1148" s="1"/>
  <c r="O36" i="1148" s="1"/>
  <c r="O37" i="1148" s="1"/>
  <c r="O38" i="1148" s="1"/>
  <c r="O39" i="1148" s="1"/>
  <c r="O40" i="1148" s="1"/>
  <c r="O41" i="1148" s="1"/>
  <c r="O42" i="1148" s="1"/>
  <c r="O43" i="1148" s="1"/>
  <c r="O44" i="1148" s="1"/>
  <c r="O45" i="1148" s="1"/>
  <c r="O46" i="1148" s="1"/>
  <c r="O47" i="1148" s="1"/>
  <c r="O48" i="1148" s="1"/>
  <c r="O49" i="1148" s="1"/>
  <c r="O50" i="1148" s="1"/>
  <c r="O51" i="1148" s="1"/>
  <c r="O52" i="1148" s="1"/>
  <c r="O53" i="1148" s="1"/>
  <c r="O54" i="1148" s="1"/>
  <c r="O55" i="1148" s="1"/>
  <c r="O56" i="1148" s="1"/>
  <c r="O57" i="1148" s="1"/>
  <c r="O58" i="1148" s="1"/>
  <c r="O59" i="1148" s="1"/>
  <c r="O60" i="1148" s="1"/>
  <c r="O61" i="1148" s="1"/>
  <c r="O62" i="1148" s="1"/>
  <c r="O63" i="1148" s="1"/>
  <c r="O64" i="1148" s="1"/>
  <c r="O65" i="1148" s="1"/>
  <c r="O66" i="1148" s="1"/>
  <c r="O67" i="1148" s="1"/>
  <c r="O68" i="1148" s="1"/>
  <c r="O69" i="1148" s="1"/>
  <c r="O70" i="1148" s="1"/>
  <c r="O71" i="1148" s="1"/>
  <c r="O72" i="1148" s="1"/>
  <c r="O73" i="1148" s="1"/>
  <c r="O74" i="1148" s="1"/>
  <c r="O75" i="1148" s="1"/>
  <c r="O76" i="1148" s="1"/>
  <c r="O77" i="1148" s="1"/>
  <c r="O78" i="1148" s="1"/>
  <c r="O79" i="1148" s="1"/>
  <c r="O80" i="1148" s="1"/>
  <c r="O81" i="1148" s="1"/>
  <c r="O82" i="1148" s="1"/>
  <c r="O83" i="1148" s="1"/>
  <c r="O84" i="1148" s="1"/>
  <c r="O85" i="1148" s="1"/>
  <c r="O86" i="1148" s="1"/>
  <c r="O87" i="1148" s="1"/>
  <c r="O88" i="1148" s="1"/>
  <c r="O89" i="1148" s="1"/>
  <c r="O90" i="1148" s="1"/>
  <c r="O91" i="1148" s="1"/>
  <c r="O92" i="1148" s="1"/>
  <c r="O93" i="1148" s="1"/>
  <c r="O94" i="1148" s="1"/>
  <c r="O95" i="1148" s="1"/>
  <c r="O96" i="1148" s="1"/>
  <c r="O97" i="1148" s="1"/>
  <c r="O98" i="1148" s="1"/>
  <c r="O99" i="1148" s="1"/>
  <c r="O100" i="1148" s="1"/>
  <c r="O101" i="1148" s="1"/>
  <c r="O102" i="1148" s="1"/>
  <c r="O103" i="1148" s="1"/>
  <c r="O104" i="1148" s="1"/>
  <c r="O105" i="1148" s="1"/>
  <c r="O106" i="1148" s="1"/>
  <c r="O107" i="1148" s="1"/>
  <c r="O108" i="1148" s="1"/>
  <c r="O109" i="1148" s="1"/>
  <c r="O110" i="1148" s="1"/>
  <c r="O111" i="1148" s="1"/>
  <c r="O112" i="1148" s="1"/>
  <c r="O113" i="1148" s="1"/>
  <c r="O114" i="1148" s="1"/>
  <c r="O115" i="1148" s="1"/>
  <c r="O116" i="1148" s="1"/>
  <c r="O117" i="1148" s="1"/>
  <c r="O118" i="1148" s="1"/>
  <c r="O119" i="1148" s="1"/>
  <c r="O120" i="1148" s="1"/>
  <c r="O121" i="1148" s="1"/>
  <c r="O122" i="1148" s="1"/>
  <c r="O123" i="1148" s="1"/>
  <c r="O124" i="1148" s="1"/>
  <c r="O125" i="1148" s="1"/>
  <c r="O126" i="1148" s="1"/>
  <c r="O127" i="1148" s="1"/>
  <c r="O9" i="1148"/>
  <c r="N31" i="1148"/>
  <c r="N32" i="1148"/>
  <c r="N33" i="1148"/>
  <c r="N34" i="1148"/>
  <c r="N35" i="1148"/>
  <c r="N36" i="1148"/>
  <c r="N37" i="1148"/>
  <c r="N38" i="1148"/>
  <c r="N39" i="1148"/>
  <c r="N40" i="1148"/>
  <c r="N41" i="1148"/>
  <c r="N42" i="1148"/>
  <c r="N43" i="1148"/>
  <c r="N44" i="1148"/>
  <c r="N45" i="1148"/>
  <c r="N46" i="1148"/>
  <c r="N47" i="1148" s="1"/>
  <c r="N48" i="1148" s="1"/>
  <c r="N49" i="1148" s="1"/>
  <c r="N50" i="1148" s="1"/>
  <c r="N51" i="1148" s="1"/>
  <c r="N52" i="1148" s="1"/>
  <c r="N53" i="1148" s="1"/>
  <c r="N54" i="1148" s="1"/>
  <c r="N55" i="1148" s="1"/>
  <c r="N56" i="1148" s="1"/>
  <c r="N57" i="1148" s="1"/>
  <c r="N58" i="1148" s="1"/>
  <c r="N59" i="1148" s="1"/>
  <c r="N60" i="1148" s="1"/>
  <c r="N61" i="1148" s="1"/>
  <c r="N62" i="1148" s="1"/>
  <c r="N63" i="1148" s="1"/>
  <c r="N64" i="1148" s="1"/>
  <c r="N65" i="1148" s="1"/>
  <c r="N66" i="1148" s="1"/>
  <c r="N67" i="1148" s="1"/>
  <c r="N68" i="1148" s="1"/>
  <c r="N69" i="1148" s="1"/>
  <c r="N70" i="1148" s="1"/>
  <c r="N71" i="1148" s="1"/>
  <c r="N72" i="1148" s="1"/>
  <c r="N73" i="1148" s="1"/>
  <c r="N74" i="1148" s="1"/>
  <c r="N75" i="1148" s="1"/>
  <c r="N76" i="1148" s="1"/>
  <c r="N77" i="1148" s="1"/>
  <c r="N78" i="1148" s="1"/>
  <c r="N79" i="1148" s="1"/>
  <c r="N80" i="1148" s="1"/>
  <c r="N81" i="1148" s="1"/>
  <c r="N82" i="1148" s="1"/>
  <c r="N83" i="1148" s="1"/>
  <c r="N84" i="1148" s="1"/>
  <c r="N85" i="1148" s="1"/>
  <c r="N86" i="1148" s="1"/>
  <c r="N87" i="1148" s="1"/>
  <c r="N88" i="1148" s="1"/>
  <c r="N89" i="1148" s="1"/>
  <c r="N90" i="1148" s="1"/>
  <c r="N91" i="1148" s="1"/>
  <c r="N92" i="1148" s="1"/>
  <c r="N93" i="1148" s="1"/>
  <c r="N94" i="1148" s="1"/>
  <c r="N95" i="1148" s="1"/>
  <c r="N96" i="1148" s="1"/>
  <c r="N97" i="1148" s="1"/>
  <c r="N98" i="1148" s="1"/>
  <c r="N99" i="1148" s="1"/>
  <c r="N100" i="1148" s="1"/>
  <c r="N101" i="1148" s="1"/>
  <c r="N102" i="1148" s="1"/>
  <c r="N103" i="1148" s="1"/>
  <c r="N104" i="1148" s="1"/>
  <c r="N105" i="1148" s="1"/>
  <c r="N106" i="1148" s="1"/>
  <c r="N107" i="1148" s="1"/>
  <c r="N108" i="1148" s="1"/>
  <c r="N109" i="1148" s="1"/>
  <c r="N110" i="1148" s="1"/>
  <c r="N111" i="1148" s="1"/>
  <c r="N112" i="1148" s="1"/>
  <c r="N113" i="1148" s="1"/>
  <c r="N114" i="1148" s="1"/>
  <c r="N115" i="1148" s="1"/>
  <c r="N116" i="1148" s="1"/>
  <c r="N117" i="1148" s="1"/>
  <c r="N118" i="1148" s="1"/>
  <c r="N119" i="1148" s="1"/>
  <c r="N120" i="1148" s="1"/>
  <c r="N121" i="1148" s="1"/>
  <c r="N122" i="1148" s="1"/>
  <c r="N123" i="1148" s="1"/>
  <c r="N124" i="1148" s="1"/>
  <c r="N125" i="1148" s="1"/>
  <c r="N126" i="1148" s="1"/>
  <c r="N127" i="1148" s="1"/>
  <c r="N10" i="1148"/>
  <c r="N11" i="1148"/>
  <c r="N12" i="1148"/>
  <c r="N13" i="1148"/>
  <c r="N14" i="1148"/>
  <c r="N15" i="1148"/>
  <c r="N16" i="1148"/>
  <c r="N17" i="1148"/>
  <c r="N18" i="1148"/>
  <c r="N19" i="1148"/>
  <c r="N20" i="1148"/>
  <c r="N21" i="1148"/>
  <c r="N22" i="1148"/>
  <c r="N23" i="1148"/>
  <c r="N24" i="1148"/>
  <c r="N25" i="1148"/>
  <c r="N26" i="1148" s="1"/>
  <c r="N27" i="1148" s="1"/>
  <c r="N28" i="1148" s="1"/>
  <c r="N29" i="1148" s="1"/>
  <c r="N30" i="1148" s="1"/>
  <c r="L8" i="1148" l="1"/>
  <c r="M8" i="1148"/>
  <c r="N8" i="1148"/>
  <c r="O8" i="1148"/>
  <c r="P8" i="1148"/>
  <c r="Q8" i="1148"/>
  <c r="R8" i="1148"/>
  <c r="S8" i="1148"/>
  <c r="L9" i="1148"/>
  <c r="L10" i="1148" s="1"/>
  <c r="L11" i="1148" s="1"/>
  <c r="L12" i="1148" s="1"/>
  <c r="L13" i="1148" s="1"/>
  <c r="L14" i="1148" s="1"/>
  <c r="L15" i="1148" s="1"/>
  <c r="L16" i="1148" s="1"/>
  <c r="L17" i="1148" s="1"/>
  <c r="L18" i="1148" s="1"/>
  <c r="L19" i="1148" s="1"/>
  <c r="L20" i="1148" s="1"/>
  <c r="L21" i="1148" s="1"/>
  <c r="L22" i="1148" s="1"/>
  <c r="L23" i="1148" s="1"/>
  <c r="L24" i="1148" s="1"/>
  <c r="L25" i="1148" s="1"/>
  <c r="L26" i="1148" s="1"/>
  <c r="L27" i="1148" s="1"/>
  <c r="L28" i="1148" s="1"/>
  <c r="L29" i="1148" s="1"/>
  <c r="L30" i="1148" s="1"/>
  <c r="L31" i="1148" s="1"/>
  <c r="L32" i="1148" s="1"/>
  <c r="L33" i="1148" s="1"/>
  <c r="L34" i="1148" s="1"/>
  <c r="L35" i="1148" s="1"/>
  <c r="L36" i="1148" s="1"/>
  <c r="L37" i="1148" s="1"/>
  <c r="L38" i="1148" s="1"/>
  <c r="L39" i="1148" s="1"/>
  <c r="L40" i="1148" s="1"/>
  <c r="L41" i="1148" s="1"/>
  <c r="L42" i="1148" s="1"/>
  <c r="L43" i="1148" s="1"/>
  <c r="L44" i="1148" s="1"/>
  <c r="L45" i="1148" s="1"/>
  <c r="L46" i="1148" s="1"/>
  <c r="L47" i="1148" s="1"/>
  <c r="L48" i="1148" s="1"/>
  <c r="L49" i="1148" s="1"/>
  <c r="L50" i="1148" s="1"/>
  <c r="L51" i="1148" s="1"/>
  <c r="L52" i="1148" s="1"/>
  <c r="L53" i="1148" s="1"/>
  <c r="L54" i="1148" s="1"/>
  <c r="L55" i="1148" s="1"/>
  <c r="L56" i="1148" s="1"/>
  <c r="L57" i="1148" s="1"/>
  <c r="L58" i="1148" s="1"/>
  <c r="L59" i="1148" s="1"/>
  <c r="L60" i="1148" s="1"/>
  <c r="L61" i="1148" s="1"/>
  <c r="L62" i="1148" s="1"/>
  <c r="L63" i="1148" s="1"/>
  <c r="L64" i="1148" s="1"/>
  <c r="L65" i="1148" s="1"/>
  <c r="L66" i="1148" s="1"/>
  <c r="L67" i="1148" s="1"/>
  <c r="L68" i="1148" s="1"/>
  <c r="L69" i="1148" s="1"/>
  <c r="L70" i="1148" s="1"/>
  <c r="L71" i="1148" s="1"/>
  <c r="L72" i="1148" s="1"/>
  <c r="L73" i="1148" s="1"/>
  <c r="L74" i="1148" s="1"/>
  <c r="L75" i="1148" s="1"/>
  <c r="L76" i="1148" s="1"/>
  <c r="L77" i="1148" s="1"/>
  <c r="L78" i="1148" s="1"/>
  <c r="L79" i="1148" s="1"/>
  <c r="L80" i="1148" s="1"/>
  <c r="L81" i="1148" s="1"/>
  <c r="L82" i="1148" s="1"/>
  <c r="L83" i="1148" s="1"/>
  <c r="L84" i="1148" s="1"/>
  <c r="L85" i="1148" s="1"/>
  <c r="L86" i="1148" s="1"/>
  <c r="L87" i="1148" s="1"/>
  <c r="L88" i="1148" s="1"/>
  <c r="L89" i="1148" s="1"/>
  <c r="L90" i="1148" s="1"/>
  <c r="L91" i="1148" s="1"/>
  <c r="L92" i="1148" s="1"/>
  <c r="L93" i="1148" s="1"/>
  <c r="L94" i="1148" s="1"/>
  <c r="L95" i="1148" s="1"/>
  <c r="L96" i="1148" s="1"/>
  <c r="L97" i="1148" s="1"/>
  <c r="L98" i="1148" s="1"/>
  <c r="L99" i="1148" s="1"/>
  <c r="L100" i="1148" s="1"/>
  <c r="L101" i="1148" s="1"/>
  <c r="L102" i="1148" s="1"/>
  <c r="L103" i="1148" s="1"/>
  <c r="L104" i="1148" s="1"/>
  <c r="L105" i="1148" s="1"/>
  <c r="L106" i="1148" s="1"/>
  <c r="L107" i="1148" s="1"/>
  <c r="L108" i="1148" s="1"/>
  <c r="L109" i="1148" s="1"/>
  <c r="L110" i="1148" s="1"/>
  <c r="L111" i="1148" s="1"/>
  <c r="L112" i="1148" s="1"/>
  <c r="L113" i="1148" s="1"/>
  <c r="L114" i="1148" s="1"/>
  <c r="L115" i="1148" s="1"/>
  <c r="L116" i="1148" s="1"/>
  <c r="L117" i="1148" s="1"/>
  <c r="L118" i="1148" s="1"/>
  <c r="L119" i="1148" s="1"/>
  <c r="L120" i="1148" s="1"/>
  <c r="L121" i="1148" s="1"/>
  <c r="L122" i="1148" s="1"/>
  <c r="L123" i="1148" s="1"/>
  <c r="L124" i="1148" s="1"/>
  <c r="L125" i="1148" s="1"/>
  <c r="L126" i="1148" s="1"/>
  <c r="L127" i="1148" s="1"/>
  <c r="M9" i="1148"/>
  <c r="M10" i="1148" s="1"/>
  <c r="M11" i="1148" s="1"/>
  <c r="M12" i="1148" s="1"/>
  <c r="M13" i="1148" s="1"/>
  <c r="M14" i="1148" s="1"/>
  <c r="M15" i="1148" s="1"/>
  <c r="M16" i="1148" s="1"/>
  <c r="M17" i="1148" s="1"/>
  <c r="M18" i="1148" s="1"/>
  <c r="M19" i="1148" s="1"/>
  <c r="M20" i="1148" s="1"/>
  <c r="M21" i="1148" s="1"/>
  <c r="M22" i="1148" s="1"/>
  <c r="M23" i="1148" s="1"/>
  <c r="M24" i="1148" s="1"/>
  <c r="M25" i="1148" s="1"/>
  <c r="M26" i="1148" s="1"/>
  <c r="M27" i="1148" s="1"/>
  <c r="M28" i="1148" s="1"/>
  <c r="M29" i="1148" s="1"/>
  <c r="M30" i="1148" s="1"/>
  <c r="M31" i="1148" s="1"/>
  <c r="M32" i="1148" s="1"/>
  <c r="M33" i="1148" s="1"/>
  <c r="M34" i="1148" s="1"/>
  <c r="M35" i="1148" s="1"/>
  <c r="M36" i="1148" s="1"/>
  <c r="M37" i="1148" s="1"/>
  <c r="M38" i="1148" s="1"/>
  <c r="M39" i="1148" s="1"/>
  <c r="M40" i="1148" s="1"/>
  <c r="M41" i="1148" s="1"/>
  <c r="M42" i="1148" s="1"/>
  <c r="M43" i="1148" s="1"/>
  <c r="M44" i="1148" s="1"/>
  <c r="M45" i="1148" s="1"/>
  <c r="M46" i="1148" s="1"/>
  <c r="M47" i="1148" s="1"/>
  <c r="M48" i="1148" s="1"/>
  <c r="M49" i="1148" s="1"/>
  <c r="M50" i="1148" s="1"/>
  <c r="M51" i="1148" s="1"/>
  <c r="M52" i="1148" s="1"/>
  <c r="M53" i="1148" s="1"/>
  <c r="M54" i="1148" s="1"/>
  <c r="M55" i="1148" s="1"/>
  <c r="M56" i="1148" s="1"/>
  <c r="M57" i="1148" s="1"/>
  <c r="M58" i="1148" s="1"/>
  <c r="M59" i="1148" s="1"/>
  <c r="M60" i="1148" s="1"/>
  <c r="M61" i="1148" s="1"/>
  <c r="M62" i="1148" s="1"/>
  <c r="M63" i="1148" s="1"/>
  <c r="M64" i="1148" s="1"/>
  <c r="M65" i="1148" s="1"/>
  <c r="M66" i="1148" s="1"/>
  <c r="M67" i="1148" s="1"/>
  <c r="M68" i="1148" s="1"/>
  <c r="M69" i="1148" s="1"/>
  <c r="M70" i="1148" s="1"/>
  <c r="M71" i="1148" s="1"/>
  <c r="M72" i="1148" s="1"/>
  <c r="M73" i="1148" s="1"/>
  <c r="M74" i="1148" s="1"/>
  <c r="M75" i="1148" s="1"/>
  <c r="M76" i="1148" s="1"/>
  <c r="M77" i="1148" s="1"/>
  <c r="M78" i="1148" s="1"/>
  <c r="M79" i="1148" s="1"/>
  <c r="M80" i="1148" s="1"/>
  <c r="M81" i="1148" s="1"/>
  <c r="M82" i="1148" s="1"/>
  <c r="M83" i="1148" s="1"/>
  <c r="M84" i="1148" s="1"/>
  <c r="M85" i="1148" s="1"/>
  <c r="M86" i="1148" s="1"/>
  <c r="M87" i="1148" s="1"/>
  <c r="M88" i="1148" s="1"/>
  <c r="M89" i="1148" s="1"/>
  <c r="M90" i="1148" s="1"/>
  <c r="M91" i="1148" s="1"/>
  <c r="M92" i="1148" s="1"/>
  <c r="M93" i="1148" s="1"/>
  <c r="M94" i="1148" s="1"/>
  <c r="M95" i="1148" s="1"/>
  <c r="M96" i="1148" s="1"/>
  <c r="M97" i="1148" s="1"/>
  <c r="M98" i="1148" s="1"/>
  <c r="M99" i="1148" s="1"/>
  <c r="M100" i="1148" s="1"/>
  <c r="M101" i="1148" s="1"/>
  <c r="M102" i="1148" s="1"/>
  <c r="M103" i="1148" s="1"/>
  <c r="M104" i="1148" s="1"/>
  <c r="M105" i="1148" s="1"/>
  <c r="M106" i="1148" s="1"/>
  <c r="M107" i="1148" s="1"/>
  <c r="M108" i="1148" s="1"/>
  <c r="M109" i="1148" s="1"/>
  <c r="M110" i="1148" s="1"/>
  <c r="M111" i="1148" s="1"/>
  <c r="M112" i="1148" s="1"/>
  <c r="M113" i="1148" s="1"/>
  <c r="M114" i="1148" s="1"/>
  <c r="M115" i="1148" s="1"/>
  <c r="M116" i="1148" s="1"/>
  <c r="M117" i="1148" s="1"/>
  <c r="M118" i="1148" s="1"/>
  <c r="M119" i="1148" s="1"/>
  <c r="M120" i="1148" s="1"/>
  <c r="M121" i="1148" s="1"/>
  <c r="M122" i="1148" s="1"/>
  <c r="M123" i="1148" s="1"/>
  <c r="M124" i="1148" s="1"/>
  <c r="M125" i="1148" s="1"/>
  <c r="M126" i="1148" s="1"/>
  <c r="M127" i="1148" s="1"/>
  <c r="N9" i="1148"/>
  <c r="P9" i="1148"/>
  <c r="P10" i="1148" s="1"/>
  <c r="P11" i="1148" s="1"/>
  <c r="Q9" i="1148"/>
  <c r="Q10" i="1148" s="1"/>
  <c r="Q11" i="1148" s="1"/>
  <c r="Q12" i="1148" s="1"/>
  <c r="Q13" i="1148" s="1"/>
  <c r="Q14" i="1148" s="1"/>
  <c r="Q15" i="1148" s="1"/>
  <c r="Q16" i="1148" s="1"/>
  <c r="Q17" i="1148" s="1"/>
  <c r="Q18" i="1148" s="1"/>
  <c r="Q19" i="1148" s="1"/>
  <c r="Q20" i="1148" s="1"/>
  <c r="Q21" i="1148" s="1"/>
  <c r="Q22" i="1148" s="1"/>
  <c r="Q23" i="1148" s="1"/>
  <c r="Q24" i="1148" s="1"/>
  <c r="Q25" i="1148" s="1"/>
  <c r="Q26" i="1148" s="1"/>
  <c r="Q27" i="1148" s="1"/>
  <c r="Q28" i="1148" s="1"/>
  <c r="Q29" i="1148" s="1"/>
  <c r="Q30" i="1148" s="1"/>
  <c r="Q31" i="1148" s="1"/>
  <c r="Q32" i="1148" s="1"/>
  <c r="Q33" i="1148" s="1"/>
  <c r="Q34" i="1148" s="1"/>
  <c r="Q35" i="1148" s="1"/>
  <c r="Q36" i="1148" s="1"/>
  <c r="Q37" i="1148" s="1"/>
  <c r="Q38" i="1148" s="1"/>
  <c r="Q39" i="1148" s="1"/>
  <c r="Q40" i="1148" s="1"/>
  <c r="Q41" i="1148" s="1"/>
  <c r="Q42" i="1148" s="1"/>
  <c r="Q43" i="1148" s="1"/>
  <c r="Q44" i="1148" s="1"/>
  <c r="Q45" i="1148" s="1"/>
  <c r="Q46" i="1148" s="1"/>
  <c r="Q47" i="1148" s="1"/>
  <c r="Q48" i="1148" s="1"/>
  <c r="Q49" i="1148" s="1"/>
  <c r="Q50" i="1148" s="1"/>
  <c r="Q51" i="1148" s="1"/>
  <c r="Q52" i="1148" s="1"/>
  <c r="Q53" i="1148" s="1"/>
  <c r="Q54" i="1148" s="1"/>
  <c r="Q55" i="1148" s="1"/>
  <c r="Q56" i="1148" s="1"/>
  <c r="Q57" i="1148" s="1"/>
  <c r="Q58" i="1148" s="1"/>
  <c r="Q59" i="1148" s="1"/>
  <c r="Q60" i="1148" s="1"/>
  <c r="Q61" i="1148" s="1"/>
  <c r="Q62" i="1148" s="1"/>
  <c r="Q63" i="1148" s="1"/>
  <c r="Q64" i="1148" s="1"/>
  <c r="Q65" i="1148" s="1"/>
  <c r="Q66" i="1148" s="1"/>
  <c r="Q67" i="1148" s="1"/>
  <c r="Q68" i="1148" s="1"/>
  <c r="Q69" i="1148" s="1"/>
  <c r="Q70" i="1148" s="1"/>
  <c r="Q71" i="1148" s="1"/>
  <c r="Q72" i="1148" s="1"/>
  <c r="Q73" i="1148" s="1"/>
  <c r="Q74" i="1148" s="1"/>
  <c r="Q75" i="1148" s="1"/>
  <c r="Q76" i="1148" s="1"/>
  <c r="Q77" i="1148" s="1"/>
  <c r="Q78" i="1148" s="1"/>
  <c r="Q79" i="1148" s="1"/>
  <c r="Q80" i="1148" s="1"/>
  <c r="Q81" i="1148" s="1"/>
  <c r="Q82" i="1148" s="1"/>
  <c r="Q83" i="1148" s="1"/>
  <c r="Q84" i="1148" s="1"/>
  <c r="Q85" i="1148" s="1"/>
  <c r="Q86" i="1148" s="1"/>
  <c r="Q87" i="1148" s="1"/>
  <c r="Q88" i="1148" s="1"/>
  <c r="Q89" i="1148" s="1"/>
  <c r="Q90" i="1148" s="1"/>
  <c r="Q91" i="1148" s="1"/>
  <c r="Q92" i="1148" s="1"/>
  <c r="Q93" i="1148" s="1"/>
  <c r="Q94" i="1148" s="1"/>
  <c r="Q95" i="1148" s="1"/>
  <c r="Q96" i="1148" s="1"/>
  <c r="Q97" i="1148" s="1"/>
  <c r="Q98" i="1148" s="1"/>
  <c r="Q99" i="1148" s="1"/>
  <c r="Q100" i="1148" s="1"/>
  <c r="Q101" i="1148" s="1"/>
  <c r="Q102" i="1148" s="1"/>
  <c r="Q103" i="1148" s="1"/>
  <c r="Q104" i="1148" s="1"/>
  <c r="Q105" i="1148" s="1"/>
  <c r="Q106" i="1148" s="1"/>
  <c r="Q107" i="1148" s="1"/>
  <c r="Q108" i="1148" s="1"/>
  <c r="Q109" i="1148" s="1"/>
  <c r="Q110" i="1148" s="1"/>
  <c r="Q111" i="1148" s="1"/>
  <c r="Q112" i="1148" s="1"/>
  <c r="Q113" i="1148" s="1"/>
  <c r="Q114" i="1148" s="1"/>
  <c r="Q115" i="1148" s="1"/>
  <c r="Q116" i="1148" s="1"/>
  <c r="Q117" i="1148" s="1"/>
  <c r="Q118" i="1148" s="1"/>
  <c r="Q119" i="1148" s="1"/>
  <c r="Q120" i="1148" s="1"/>
  <c r="Q121" i="1148" s="1"/>
  <c r="Q122" i="1148" s="1"/>
  <c r="Q123" i="1148" s="1"/>
  <c r="Q124" i="1148" s="1"/>
  <c r="Q125" i="1148" s="1"/>
  <c r="Q126" i="1148" s="1"/>
  <c r="Q127" i="1148" s="1"/>
  <c r="R9" i="1148"/>
  <c r="R10" i="1148" s="1"/>
  <c r="R11" i="1148" s="1"/>
  <c r="R12" i="1148" s="1"/>
  <c r="R13" i="1148" s="1"/>
  <c r="R14" i="1148" s="1"/>
  <c r="R15" i="1148" s="1"/>
  <c r="R16" i="1148" s="1"/>
  <c r="R17" i="1148" s="1"/>
  <c r="R18" i="1148" s="1"/>
  <c r="R19" i="1148" s="1"/>
  <c r="R20" i="1148" s="1"/>
  <c r="R21" i="1148" s="1"/>
  <c r="R22" i="1148" s="1"/>
  <c r="R23" i="1148" s="1"/>
  <c r="R24" i="1148" s="1"/>
  <c r="R25" i="1148" s="1"/>
  <c r="R26" i="1148" s="1"/>
  <c r="R27" i="1148" s="1"/>
  <c r="R28" i="1148" s="1"/>
  <c r="R29" i="1148" s="1"/>
  <c r="R30" i="1148" s="1"/>
  <c r="R31" i="1148" s="1"/>
  <c r="R32" i="1148" s="1"/>
  <c r="R33" i="1148" s="1"/>
  <c r="R34" i="1148" s="1"/>
  <c r="R35" i="1148" s="1"/>
  <c r="R36" i="1148" s="1"/>
  <c r="R37" i="1148" s="1"/>
  <c r="R38" i="1148" s="1"/>
  <c r="R39" i="1148" s="1"/>
  <c r="R40" i="1148" s="1"/>
  <c r="R41" i="1148" s="1"/>
  <c r="R42" i="1148" s="1"/>
  <c r="R43" i="1148" s="1"/>
  <c r="R44" i="1148" s="1"/>
  <c r="R45" i="1148" s="1"/>
  <c r="R46" i="1148" s="1"/>
  <c r="R47" i="1148" s="1"/>
  <c r="R48" i="1148" s="1"/>
  <c r="R49" i="1148" s="1"/>
  <c r="R50" i="1148" s="1"/>
  <c r="R51" i="1148" s="1"/>
  <c r="R52" i="1148" s="1"/>
  <c r="R53" i="1148" s="1"/>
  <c r="R54" i="1148" s="1"/>
  <c r="R55" i="1148" s="1"/>
  <c r="R56" i="1148" s="1"/>
  <c r="R57" i="1148" s="1"/>
  <c r="R58" i="1148" s="1"/>
  <c r="R59" i="1148" s="1"/>
  <c r="R60" i="1148" s="1"/>
  <c r="R61" i="1148" s="1"/>
  <c r="R62" i="1148" s="1"/>
  <c r="R63" i="1148" s="1"/>
  <c r="R64" i="1148" s="1"/>
  <c r="R65" i="1148" s="1"/>
  <c r="R66" i="1148" s="1"/>
  <c r="R67" i="1148" s="1"/>
  <c r="R68" i="1148" s="1"/>
  <c r="R69" i="1148" s="1"/>
  <c r="R70" i="1148" s="1"/>
  <c r="R71" i="1148" s="1"/>
  <c r="R72" i="1148" s="1"/>
  <c r="R73" i="1148" s="1"/>
  <c r="R74" i="1148" s="1"/>
  <c r="R75" i="1148" s="1"/>
  <c r="R76" i="1148" s="1"/>
  <c r="R77" i="1148" s="1"/>
  <c r="R78" i="1148" s="1"/>
  <c r="R79" i="1148" s="1"/>
  <c r="R80" i="1148" s="1"/>
  <c r="R81" i="1148" s="1"/>
  <c r="R82" i="1148" s="1"/>
  <c r="R83" i="1148" s="1"/>
  <c r="R84" i="1148" s="1"/>
  <c r="R85" i="1148" s="1"/>
  <c r="R86" i="1148" s="1"/>
  <c r="R87" i="1148" s="1"/>
  <c r="R88" i="1148" s="1"/>
  <c r="R89" i="1148" s="1"/>
  <c r="R90" i="1148" s="1"/>
  <c r="R91" i="1148" s="1"/>
  <c r="R92" i="1148" s="1"/>
  <c r="R93" i="1148" s="1"/>
  <c r="R94" i="1148" s="1"/>
  <c r="R95" i="1148" s="1"/>
  <c r="R96" i="1148" s="1"/>
  <c r="R97" i="1148" s="1"/>
  <c r="R98" i="1148" s="1"/>
  <c r="R99" i="1148" s="1"/>
  <c r="R100" i="1148" s="1"/>
  <c r="R101" i="1148" s="1"/>
  <c r="R102" i="1148" s="1"/>
  <c r="R103" i="1148" s="1"/>
  <c r="R104" i="1148" s="1"/>
  <c r="R105" i="1148" s="1"/>
  <c r="R106" i="1148" s="1"/>
  <c r="R107" i="1148" s="1"/>
  <c r="R108" i="1148" s="1"/>
  <c r="R109" i="1148" s="1"/>
  <c r="R110" i="1148" s="1"/>
  <c r="R111" i="1148" s="1"/>
  <c r="R112" i="1148" s="1"/>
  <c r="R113" i="1148" s="1"/>
  <c r="R114" i="1148" s="1"/>
  <c r="R115" i="1148" s="1"/>
  <c r="R116" i="1148" s="1"/>
  <c r="R117" i="1148" s="1"/>
  <c r="R118" i="1148" s="1"/>
  <c r="R119" i="1148" s="1"/>
  <c r="R120" i="1148" s="1"/>
  <c r="R121" i="1148" s="1"/>
  <c r="R122" i="1148" s="1"/>
  <c r="R123" i="1148" s="1"/>
  <c r="R124" i="1148" s="1"/>
  <c r="R125" i="1148" s="1"/>
  <c r="R126" i="1148" s="1"/>
  <c r="R127" i="1148" s="1"/>
  <c r="S9" i="1148"/>
  <c r="S10" i="1148" s="1"/>
  <c r="S11" i="1148" s="1"/>
  <c r="S12" i="1148" s="1"/>
  <c r="S13" i="1148" s="1"/>
  <c r="S14" i="1148" s="1"/>
  <c r="S15" i="1148" s="1"/>
  <c r="S16" i="1148" s="1"/>
  <c r="S17" i="1148" s="1"/>
  <c r="S18" i="1148" s="1"/>
  <c r="S19" i="1148" s="1"/>
  <c r="S20" i="1148" s="1"/>
  <c r="S21" i="1148" s="1"/>
  <c r="S22" i="1148" s="1"/>
  <c r="S23" i="1148" s="1"/>
  <c r="S24" i="1148" s="1"/>
  <c r="S25" i="1148" s="1"/>
  <c r="S26" i="1148" s="1"/>
  <c r="S27" i="1148" s="1"/>
  <c r="S28" i="1148" s="1"/>
  <c r="S29" i="1148" s="1"/>
  <c r="S30" i="1148" s="1"/>
  <c r="S31" i="1148" s="1"/>
  <c r="S32" i="1148" s="1"/>
  <c r="S33" i="1148" s="1"/>
  <c r="S34" i="1148" s="1"/>
  <c r="S35" i="1148" s="1"/>
  <c r="S36" i="1148" s="1"/>
  <c r="S37" i="1148" s="1"/>
  <c r="S38" i="1148" s="1"/>
  <c r="S39" i="1148" s="1"/>
  <c r="S40" i="1148" s="1"/>
  <c r="S41" i="1148" s="1"/>
  <c r="S42" i="1148" s="1"/>
  <c r="S43" i="1148" s="1"/>
  <c r="S44" i="1148" s="1"/>
  <c r="S45" i="1148" s="1"/>
  <c r="S46" i="1148" s="1"/>
  <c r="S47" i="1148" s="1"/>
  <c r="S48" i="1148" s="1"/>
  <c r="S49" i="1148" s="1"/>
  <c r="S50" i="1148" s="1"/>
  <c r="S51" i="1148" s="1"/>
  <c r="S52" i="1148" s="1"/>
  <c r="S53" i="1148" s="1"/>
  <c r="S54" i="1148" s="1"/>
  <c r="S55" i="1148" s="1"/>
  <c r="S56" i="1148" s="1"/>
  <c r="S57" i="1148" s="1"/>
  <c r="S58" i="1148" s="1"/>
  <c r="S59" i="1148" s="1"/>
  <c r="S60" i="1148" s="1"/>
  <c r="S61" i="1148" s="1"/>
  <c r="S62" i="1148" s="1"/>
  <c r="S63" i="1148" s="1"/>
  <c r="S64" i="1148" s="1"/>
  <c r="S65" i="1148" s="1"/>
  <c r="S66" i="1148" s="1"/>
  <c r="S67" i="1148" s="1"/>
  <c r="S68" i="1148" s="1"/>
  <c r="S69" i="1148" s="1"/>
  <c r="S70" i="1148" s="1"/>
  <c r="S71" i="1148" s="1"/>
  <c r="S72" i="1148" s="1"/>
  <c r="S73" i="1148" s="1"/>
  <c r="S74" i="1148" s="1"/>
  <c r="S75" i="1148" s="1"/>
  <c r="S76" i="1148" s="1"/>
  <c r="S77" i="1148" s="1"/>
  <c r="S78" i="1148" s="1"/>
  <c r="S79" i="1148" s="1"/>
  <c r="S80" i="1148" s="1"/>
  <c r="S81" i="1148" s="1"/>
  <c r="S82" i="1148" s="1"/>
  <c r="S83" i="1148" s="1"/>
  <c r="S84" i="1148" s="1"/>
  <c r="S85" i="1148" s="1"/>
  <c r="S86" i="1148" s="1"/>
  <c r="S87" i="1148" s="1"/>
  <c r="S88" i="1148" s="1"/>
  <c r="S89" i="1148" s="1"/>
  <c r="S90" i="1148" s="1"/>
  <c r="S91" i="1148" s="1"/>
  <c r="S92" i="1148" s="1"/>
  <c r="S93" i="1148" s="1"/>
  <c r="S94" i="1148" s="1"/>
  <c r="S95" i="1148" s="1"/>
  <c r="S96" i="1148" s="1"/>
  <c r="S97" i="1148" s="1"/>
  <c r="S98" i="1148" s="1"/>
  <c r="S99" i="1148" s="1"/>
  <c r="S100" i="1148" s="1"/>
  <c r="S101" i="1148" s="1"/>
  <c r="S102" i="1148" s="1"/>
  <c r="S103" i="1148" s="1"/>
  <c r="S104" i="1148" s="1"/>
  <c r="S105" i="1148" s="1"/>
  <c r="S106" i="1148" s="1"/>
  <c r="S107" i="1148" s="1"/>
  <c r="S108" i="1148" s="1"/>
  <c r="S109" i="1148" s="1"/>
  <c r="S110" i="1148" s="1"/>
  <c r="S111" i="1148" s="1"/>
  <c r="S112" i="1148" s="1"/>
  <c r="S113" i="1148" s="1"/>
  <c r="S114" i="1148" s="1"/>
  <c r="S115" i="1148" s="1"/>
  <c r="S116" i="1148" s="1"/>
  <c r="S117" i="1148" s="1"/>
  <c r="S118" i="1148" s="1"/>
  <c r="S119" i="1148" s="1"/>
  <c r="S120" i="1148" s="1"/>
  <c r="S121" i="1148" s="1"/>
  <c r="S122" i="1148" s="1"/>
  <c r="S123" i="1148" s="1"/>
  <c r="S124" i="1148" s="1"/>
  <c r="S125" i="1148" s="1"/>
  <c r="S126" i="1148" s="1"/>
  <c r="S127" i="1148" s="1"/>
  <c r="P12" i="1148"/>
  <c r="P13" i="1148" s="1"/>
  <c r="P14" i="1148" s="1"/>
  <c r="P15" i="1148" s="1"/>
  <c r="P16" i="1148" s="1"/>
  <c r="P17" i="1148" s="1"/>
  <c r="P18" i="1148" s="1"/>
  <c r="P19" i="1148" s="1"/>
  <c r="P20" i="1148" s="1"/>
  <c r="P21" i="1148" s="1"/>
  <c r="P22" i="1148" s="1"/>
  <c r="P23" i="1148" s="1"/>
  <c r="P24" i="1148" s="1"/>
  <c r="P25" i="1148" s="1"/>
  <c r="P26" i="1148" s="1"/>
  <c r="P27" i="1148" s="1"/>
  <c r="P28" i="1148" s="1"/>
  <c r="P29" i="1148" s="1"/>
  <c r="P30" i="1148" s="1"/>
  <c r="P31" i="1148" s="1"/>
  <c r="P32" i="1148" s="1"/>
  <c r="P33" i="1148" s="1"/>
  <c r="P34" i="1148" s="1"/>
  <c r="P35" i="1148" s="1"/>
  <c r="P36" i="1148" s="1"/>
  <c r="P37" i="1148" s="1"/>
  <c r="P38" i="1148" s="1"/>
  <c r="P39" i="1148" s="1"/>
  <c r="P40" i="1148" s="1"/>
  <c r="P41" i="1148" s="1"/>
  <c r="P42" i="1148" s="1"/>
  <c r="P43" i="1148" s="1"/>
  <c r="P44" i="1148" s="1"/>
  <c r="P45" i="1148" s="1"/>
  <c r="P46" i="1148" s="1"/>
  <c r="P47" i="1148" s="1"/>
  <c r="P48" i="1148" s="1"/>
  <c r="P49" i="1148" s="1"/>
  <c r="P50" i="1148" s="1"/>
  <c r="P51" i="1148" s="1"/>
  <c r="P52" i="1148" s="1"/>
  <c r="P53" i="1148" s="1"/>
  <c r="P54" i="1148" s="1"/>
  <c r="P55" i="1148" s="1"/>
  <c r="P56" i="1148" s="1"/>
  <c r="P57" i="1148" s="1"/>
  <c r="P58" i="1148" s="1"/>
  <c r="P59" i="1148" s="1"/>
  <c r="P60" i="1148" s="1"/>
  <c r="P61" i="1148" s="1"/>
  <c r="P62" i="1148" s="1"/>
  <c r="P63" i="1148" s="1"/>
  <c r="P64" i="1148" s="1"/>
  <c r="P65" i="1148" s="1"/>
  <c r="P66" i="1148" s="1"/>
  <c r="P67" i="1148" s="1"/>
  <c r="P68" i="1148" s="1"/>
  <c r="P69" i="1148" s="1"/>
  <c r="P70" i="1148" s="1"/>
  <c r="P71" i="1148" s="1"/>
  <c r="P72" i="1148" s="1"/>
  <c r="P73" i="1148" s="1"/>
  <c r="P74" i="1148" s="1"/>
  <c r="P75" i="1148" s="1"/>
  <c r="P76" i="1148" s="1"/>
  <c r="P77" i="1148" s="1"/>
  <c r="P78" i="1148" s="1"/>
  <c r="P79" i="1148" s="1"/>
  <c r="P80" i="1148" s="1"/>
  <c r="P81" i="1148" s="1"/>
  <c r="P82" i="1148" s="1"/>
  <c r="P83" i="1148" s="1"/>
  <c r="P84" i="1148" s="1"/>
  <c r="P85" i="1148" s="1"/>
  <c r="P86" i="1148" s="1"/>
  <c r="P87" i="1148" s="1"/>
  <c r="P88" i="1148" s="1"/>
  <c r="P89" i="1148" s="1"/>
  <c r="P90" i="1148" s="1"/>
  <c r="P91" i="1148" s="1"/>
  <c r="P92" i="1148" s="1"/>
  <c r="P93" i="1148" s="1"/>
  <c r="P94" i="1148" s="1"/>
  <c r="P95" i="1148" s="1"/>
  <c r="P96" i="1148" s="1"/>
  <c r="P97" i="1148" s="1"/>
  <c r="P98" i="1148" s="1"/>
  <c r="P99" i="1148" s="1"/>
  <c r="P100" i="1148" s="1"/>
  <c r="P101" i="1148" s="1"/>
  <c r="P102" i="1148" s="1"/>
  <c r="P103" i="1148" s="1"/>
  <c r="P104" i="1148" s="1"/>
  <c r="P105" i="1148" s="1"/>
  <c r="P106" i="1148" s="1"/>
  <c r="P107" i="1148" s="1"/>
  <c r="P108" i="1148" s="1"/>
  <c r="P109" i="1148" s="1"/>
  <c r="P110" i="1148" s="1"/>
  <c r="P111" i="1148" s="1"/>
  <c r="P112" i="1148" s="1"/>
  <c r="P113" i="1148" s="1"/>
  <c r="P114" i="1148" s="1"/>
  <c r="P115" i="1148" s="1"/>
  <c r="P116" i="1148" s="1"/>
  <c r="P117" i="1148" s="1"/>
  <c r="P118" i="1148" s="1"/>
  <c r="P119" i="1148" s="1"/>
  <c r="P120" i="1148" s="1"/>
  <c r="P121" i="1148" s="1"/>
  <c r="P122" i="1148" s="1"/>
  <c r="P123" i="1148" s="1"/>
  <c r="P124" i="1148" s="1"/>
  <c r="P125" i="1148" s="1"/>
  <c r="P126" i="1148" s="1"/>
  <c r="P127" i="1148" s="1"/>
  <c r="F45" i="1153" l="1"/>
  <c r="F44" i="1153"/>
  <c r="F43" i="1153"/>
  <c r="F42" i="1153"/>
  <c r="F41" i="1153"/>
  <c r="A46" i="1153"/>
  <c r="A45" i="1153"/>
  <c r="A44" i="1153"/>
  <c r="A43" i="1153"/>
  <c r="A42" i="1153"/>
  <c r="A41" i="1153"/>
  <c r="G35" i="1153"/>
  <c r="F35" i="1153"/>
  <c r="B35" i="1153"/>
  <c r="A35" i="1153"/>
  <c r="G34" i="1153"/>
  <c r="F34" i="1153"/>
  <c r="B34" i="1153"/>
  <c r="A34" i="1153"/>
  <c r="G33" i="1153"/>
  <c r="F33" i="1153"/>
  <c r="B33" i="1153"/>
  <c r="A33" i="1153"/>
  <c r="G32" i="1153"/>
  <c r="F32" i="1153"/>
  <c r="B32" i="1153"/>
  <c r="A32" i="1153"/>
  <c r="G31" i="1153"/>
  <c r="F31" i="1153"/>
  <c r="B31" i="1153"/>
  <c r="A31" i="1153"/>
  <c r="G30" i="1153"/>
  <c r="F30" i="1153"/>
  <c r="B30" i="1153"/>
  <c r="A30" i="1153"/>
  <c r="G29" i="1153"/>
  <c r="F29" i="1153"/>
  <c r="B29" i="1153"/>
  <c r="A29" i="1153"/>
  <c r="G28" i="1153"/>
  <c r="F28" i="1153"/>
  <c r="B28" i="1153"/>
  <c r="A28" i="1153"/>
  <c r="G27" i="1153"/>
  <c r="F27" i="1153"/>
  <c r="B27" i="1153"/>
  <c r="A27" i="1153"/>
  <c r="G26" i="1153"/>
  <c r="F26" i="1153"/>
  <c r="B26" i="1153"/>
  <c r="A26" i="1153"/>
  <c r="B25" i="1153"/>
  <c r="A25" i="1153"/>
  <c r="G24" i="1153"/>
  <c r="F24" i="1153"/>
  <c r="B24" i="1153"/>
  <c r="A24" i="1153"/>
  <c r="G23" i="1153"/>
  <c r="F23" i="1153"/>
  <c r="B23" i="1153"/>
  <c r="A23" i="1153"/>
  <c r="G22" i="1153"/>
  <c r="F22" i="1153"/>
  <c r="B22" i="1153"/>
  <c r="A22" i="1153"/>
  <c r="G21" i="1153"/>
  <c r="F21" i="1153"/>
  <c r="B21" i="1153"/>
  <c r="A21" i="1153"/>
  <c r="G20" i="1153"/>
  <c r="F20" i="1153"/>
  <c r="B20" i="1153"/>
  <c r="A20" i="1153"/>
  <c r="G19" i="1153"/>
  <c r="F19" i="1153"/>
  <c r="B19" i="1153"/>
  <c r="A19" i="1153"/>
  <c r="G18" i="1153"/>
  <c r="F18" i="1153"/>
  <c r="B18" i="1153"/>
  <c r="A18" i="1153"/>
  <c r="G17" i="1153"/>
  <c r="F17" i="1153"/>
  <c r="B17" i="1153"/>
  <c r="A17" i="1153"/>
  <c r="B16" i="1153"/>
  <c r="A16" i="1153"/>
  <c r="G15" i="1153"/>
  <c r="F15" i="1153"/>
  <c r="B15" i="1153"/>
  <c r="A15" i="1153"/>
  <c r="G14" i="1153"/>
  <c r="F14" i="1153"/>
  <c r="B14" i="1153"/>
  <c r="A14" i="1153"/>
  <c r="G13" i="1153"/>
  <c r="F13" i="1153"/>
  <c r="B13" i="1153"/>
  <c r="A13" i="1153"/>
  <c r="G12" i="1153"/>
  <c r="F12" i="1153"/>
  <c r="B12" i="1153"/>
  <c r="A12" i="1153"/>
  <c r="B11" i="1153"/>
  <c r="A11" i="1153"/>
  <c r="B10" i="1153"/>
  <c r="A10" i="1153"/>
  <c r="P7" i="1153"/>
  <c r="I4" i="1153"/>
  <c r="B4" i="1153"/>
  <c r="I3" i="1153"/>
  <c r="C3" i="1153" s="1"/>
  <c r="G35" i="1152"/>
  <c r="F35" i="1152"/>
  <c r="B35" i="1152"/>
  <c r="A35" i="1152"/>
  <c r="G34" i="1152"/>
  <c r="F34" i="1152"/>
  <c r="B34" i="1152"/>
  <c r="A34" i="1152"/>
  <c r="G33" i="1152"/>
  <c r="F33" i="1152"/>
  <c r="B33" i="1152"/>
  <c r="A33" i="1152"/>
  <c r="G32" i="1152"/>
  <c r="F32" i="1152"/>
  <c r="B32" i="1152"/>
  <c r="A32" i="1152"/>
  <c r="G31" i="1152"/>
  <c r="F31" i="1152"/>
  <c r="B31" i="1152"/>
  <c r="A31" i="1152"/>
  <c r="G30" i="1152"/>
  <c r="F30" i="1152"/>
  <c r="B30" i="1152"/>
  <c r="A30" i="1152"/>
  <c r="G29" i="1152"/>
  <c r="F29" i="1152"/>
  <c r="B29" i="1152"/>
  <c r="A29" i="1152"/>
  <c r="G28" i="1152"/>
  <c r="F28" i="1152"/>
  <c r="B28" i="1152"/>
  <c r="A28" i="1152"/>
  <c r="G27" i="1152"/>
  <c r="F27" i="1152"/>
  <c r="B27" i="1152"/>
  <c r="A27" i="1152"/>
  <c r="G26" i="1152"/>
  <c r="F26" i="1152"/>
  <c r="B26" i="1152"/>
  <c r="A26" i="1152"/>
  <c r="B25" i="1152"/>
  <c r="A25" i="1152"/>
  <c r="G24" i="1152"/>
  <c r="F24" i="1152"/>
  <c r="B24" i="1152"/>
  <c r="A24" i="1152"/>
  <c r="G23" i="1152"/>
  <c r="F23" i="1152"/>
  <c r="B23" i="1152"/>
  <c r="A23" i="1152"/>
  <c r="G22" i="1152"/>
  <c r="F22" i="1152"/>
  <c r="B22" i="1152"/>
  <c r="A22" i="1152"/>
  <c r="G21" i="1152"/>
  <c r="F21" i="1152"/>
  <c r="B21" i="1152"/>
  <c r="A21" i="1152"/>
  <c r="G20" i="1152"/>
  <c r="F20" i="1152"/>
  <c r="B20" i="1152"/>
  <c r="A20" i="1152"/>
  <c r="G19" i="1152"/>
  <c r="F19" i="1152"/>
  <c r="B19" i="1152"/>
  <c r="A19" i="1152"/>
  <c r="G18" i="1152"/>
  <c r="F18" i="1152"/>
  <c r="B18" i="1152"/>
  <c r="A18" i="1152"/>
  <c r="G17" i="1152"/>
  <c r="F17" i="1152"/>
  <c r="B17" i="1152"/>
  <c r="A17" i="1152"/>
  <c r="B16" i="1152"/>
  <c r="A16" i="1152"/>
  <c r="G15" i="1152"/>
  <c r="F15" i="1152"/>
  <c r="B15" i="1152"/>
  <c r="A15" i="1152"/>
  <c r="G14" i="1152"/>
  <c r="F14" i="1152"/>
  <c r="B14" i="1152"/>
  <c r="A14" i="1152"/>
  <c r="G13" i="1152"/>
  <c r="F13" i="1152"/>
  <c r="B13" i="1152"/>
  <c r="A13" i="1152"/>
  <c r="G12" i="1152"/>
  <c r="F12" i="1152"/>
  <c r="B12" i="1152"/>
  <c r="A12" i="1152"/>
  <c r="B11" i="1152"/>
  <c r="A11" i="1152"/>
  <c r="B10" i="1152"/>
  <c r="A10" i="1152"/>
  <c r="P7" i="1152"/>
  <c r="B4" i="1152"/>
  <c r="I3" i="1152"/>
  <c r="K3" i="1152" s="1"/>
  <c r="Y5" i="1151"/>
  <c r="Y6" i="1151" s="1"/>
  <c r="Y7" i="1151" s="1"/>
  <c r="Y8" i="1151" s="1"/>
  <c r="Y9" i="1151" s="1"/>
  <c r="Y10" i="1151" s="1"/>
  <c r="Y11" i="1151" s="1"/>
  <c r="Y12" i="1151" s="1"/>
  <c r="Y13" i="1151" s="1"/>
  <c r="Y14" i="1151" s="1"/>
  <c r="Y15" i="1151" s="1"/>
  <c r="Y16" i="1151" s="1"/>
  <c r="Y17" i="1151" s="1"/>
  <c r="Y18" i="1151" s="1"/>
  <c r="Y19" i="1151" s="1"/>
  <c r="Y20" i="1151" s="1"/>
  <c r="Y21" i="1151" s="1"/>
  <c r="Y22" i="1151" s="1"/>
  <c r="Y23" i="1151" s="1"/>
  <c r="Y24" i="1151" s="1"/>
  <c r="Y25" i="1151" s="1"/>
  <c r="Y26" i="1151" s="1"/>
  <c r="Y27" i="1151" s="1"/>
  <c r="Y28" i="1151" s="1"/>
  <c r="Y29" i="1151" s="1"/>
  <c r="Y30" i="1151" s="1"/>
  <c r="Y31" i="1151" s="1"/>
  <c r="Y32" i="1151" s="1"/>
  <c r="Y33" i="1151" s="1"/>
  <c r="Y34" i="1151" s="1"/>
  <c r="Y35" i="1151" s="1"/>
  <c r="Y36" i="1151" s="1"/>
  <c r="Y37" i="1151" s="1"/>
  <c r="Y38" i="1151" s="1"/>
  <c r="Y39" i="1151" s="1"/>
  <c r="Y40" i="1151" s="1"/>
  <c r="Y41" i="1151" s="1"/>
  <c r="Y42" i="1151" s="1"/>
  <c r="Y43" i="1151" s="1"/>
  <c r="Y44" i="1151" s="1"/>
  <c r="Y45" i="1151" s="1"/>
  <c r="Y46" i="1151" s="1"/>
  <c r="Y47" i="1151" s="1"/>
  <c r="Y48" i="1151" s="1"/>
  <c r="Y49" i="1151" s="1"/>
  <c r="Y50" i="1151" s="1"/>
  <c r="Y51" i="1151" s="1"/>
  <c r="Y52" i="1151" s="1"/>
  <c r="Y53" i="1151" s="1"/>
  <c r="Y54" i="1151" s="1"/>
  <c r="Y55" i="1151" s="1"/>
  <c r="Y56" i="1151" s="1"/>
  <c r="Y57" i="1151" s="1"/>
  <c r="Y58" i="1151" s="1"/>
  <c r="Y59" i="1151" s="1"/>
  <c r="Y60" i="1151" s="1"/>
  <c r="Y61" i="1151" s="1"/>
  <c r="Y62" i="1151" s="1"/>
  <c r="Y63" i="1151" s="1"/>
  <c r="Y64" i="1151" s="1"/>
  <c r="Y65" i="1151" s="1"/>
  <c r="Y66" i="1151" s="1"/>
  <c r="Y67" i="1151" s="1"/>
  <c r="Y68" i="1151" s="1"/>
  <c r="Y69" i="1151" s="1"/>
  <c r="Y70" i="1151" s="1"/>
  <c r="Y71" i="1151" s="1"/>
  <c r="Y72" i="1151" s="1"/>
  <c r="Y73" i="1151" s="1"/>
  <c r="Y74" i="1151" s="1"/>
  <c r="Y75" i="1151" s="1"/>
  <c r="Y76" i="1151" s="1"/>
  <c r="Y77" i="1151" s="1"/>
  <c r="Y78" i="1151" s="1"/>
  <c r="Y79" i="1151" s="1"/>
  <c r="Y80" i="1151" s="1"/>
  <c r="Y81" i="1151" s="1"/>
  <c r="Y82" i="1151" s="1"/>
  <c r="Y83" i="1151" s="1"/>
  <c r="Y84" i="1151" s="1"/>
  <c r="Y85" i="1151" s="1"/>
  <c r="Y86" i="1151" s="1"/>
  <c r="Y87" i="1151" s="1"/>
  <c r="Y88" i="1151" s="1"/>
  <c r="Y89" i="1151" s="1"/>
  <c r="Y90" i="1151" s="1"/>
  <c r="Y91" i="1151" s="1"/>
  <c r="Y92" i="1151" s="1"/>
  <c r="Y93" i="1151" s="1"/>
  <c r="Y94" i="1151" s="1"/>
  <c r="Y95" i="1151" s="1"/>
  <c r="Y96" i="1151" s="1"/>
  <c r="Y97" i="1151" s="1"/>
  <c r="Y98" i="1151" s="1"/>
  <c r="Y99" i="1151" s="1"/>
  <c r="Y100" i="1151" s="1"/>
  <c r="Y101" i="1151" s="1"/>
  <c r="Y102" i="1151" s="1"/>
  <c r="Y103" i="1151" s="1"/>
  <c r="Y104" i="1151" s="1"/>
  <c r="Y105" i="1151" s="1"/>
  <c r="Y106" i="1151" s="1"/>
  <c r="Y107" i="1151" s="1"/>
  <c r="Y108" i="1151" s="1"/>
  <c r="Y109" i="1151" s="1"/>
  <c r="Y110" i="1151" s="1"/>
  <c r="Y111" i="1151" s="1"/>
  <c r="Y112" i="1151" s="1"/>
  <c r="Y113" i="1151" s="1"/>
  <c r="Y114" i="1151" s="1"/>
  <c r="Y115" i="1151" s="1"/>
  <c r="Y116" i="1151" s="1"/>
  <c r="Y117" i="1151" s="1"/>
  <c r="Y118" i="1151" s="1"/>
  <c r="Y119" i="1151" s="1"/>
  <c r="Y120" i="1151" s="1"/>
  <c r="Y121" i="1151" s="1"/>
  <c r="Y122" i="1151" s="1"/>
  <c r="Y123" i="1151" s="1"/>
  <c r="Y124" i="1151" s="1"/>
  <c r="W5" i="1151"/>
  <c r="W6" i="1151" s="1"/>
  <c r="W7" i="1151" s="1"/>
  <c r="W8" i="1151" s="1"/>
  <c r="W9" i="1151" s="1"/>
  <c r="W10" i="1151" s="1"/>
  <c r="W11" i="1151" s="1"/>
  <c r="W12" i="1151" s="1"/>
  <c r="W13" i="1151" s="1"/>
  <c r="W14" i="1151" s="1"/>
  <c r="W15" i="1151" s="1"/>
  <c r="W16" i="1151" s="1"/>
  <c r="W17" i="1151" s="1"/>
  <c r="W18" i="1151" s="1"/>
  <c r="W19" i="1151" s="1"/>
  <c r="W20" i="1151" s="1"/>
  <c r="W21" i="1151" s="1"/>
  <c r="W22" i="1151" s="1"/>
  <c r="W23" i="1151" s="1"/>
  <c r="W24" i="1151" s="1"/>
  <c r="W25" i="1151" s="1"/>
  <c r="W26" i="1151" s="1"/>
  <c r="W27" i="1151" s="1"/>
  <c r="W28" i="1151" s="1"/>
  <c r="W29" i="1151" s="1"/>
  <c r="W30" i="1151" s="1"/>
  <c r="W31" i="1151" s="1"/>
  <c r="W32" i="1151" s="1"/>
  <c r="W33" i="1151" s="1"/>
  <c r="W34" i="1151" s="1"/>
  <c r="W35" i="1151" s="1"/>
  <c r="W36" i="1151" s="1"/>
  <c r="W37" i="1151" s="1"/>
  <c r="W38" i="1151" s="1"/>
  <c r="W39" i="1151" s="1"/>
  <c r="W40" i="1151" s="1"/>
  <c r="W41" i="1151" s="1"/>
  <c r="W42" i="1151" s="1"/>
  <c r="W43" i="1151" s="1"/>
  <c r="W44" i="1151" s="1"/>
  <c r="W45" i="1151" s="1"/>
  <c r="W46" i="1151" s="1"/>
  <c r="W47" i="1151" s="1"/>
  <c r="W48" i="1151" s="1"/>
  <c r="W49" i="1151" s="1"/>
  <c r="W50" i="1151" s="1"/>
  <c r="W51" i="1151" s="1"/>
  <c r="W52" i="1151" s="1"/>
  <c r="W53" i="1151" s="1"/>
  <c r="W54" i="1151" s="1"/>
  <c r="W55" i="1151" s="1"/>
  <c r="W56" i="1151" s="1"/>
  <c r="W57" i="1151" s="1"/>
  <c r="W58" i="1151" s="1"/>
  <c r="W59" i="1151" s="1"/>
  <c r="W60" i="1151" s="1"/>
  <c r="W61" i="1151" s="1"/>
  <c r="W62" i="1151" s="1"/>
  <c r="W63" i="1151" s="1"/>
  <c r="W64" i="1151" s="1"/>
  <c r="W65" i="1151" s="1"/>
  <c r="W66" i="1151" s="1"/>
  <c r="W67" i="1151" s="1"/>
  <c r="W68" i="1151" s="1"/>
  <c r="W69" i="1151" s="1"/>
  <c r="W70" i="1151" s="1"/>
  <c r="W71" i="1151" s="1"/>
  <c r="W72" i="1151" s="1"/>
  <c r="W73" i="1151" s="1"/>
  <c r="W74" i="1151" s="1"/>
  <c r="W75" i="1151" s="1"/>
  <c r="W76" i="1151" s="1"/>
  <c r="W77" i="1151" s="1"/>
  <c r="W78" i="1151" s="1"/>
  <c r="W79" i="1151" s="1"/>
  <c r="W80" i="1151" s="1"/>
  <c r="W81" i="1151" s="1"/>
  <c r="W82" i="1151" s="1"/>
  <c r="W83" i="1151" s="1"/>
  <c r="W84" i="1151" s="1"/>
  <c r="W85" i="1151" s="1"/>
  <c r="W86" i="1151" s="1"/>
  <c r="W87" i="1151" s="1"/>
  <c r="W88" i="1151" s="1"/>
  <c r="W89" i="1151" s="1"/>
  <c r="W90" i="1151" s="1"/>
  <c r="W91" i="1151" s="1"/>
  <c r="W92" i="1151" s="1"/>
  <c r="W93" i="1151" s="1"/>
  <c r="W94" i="1151" s="1"/>
  <c r="W95" i="1151" s="1"/>
  <c r="W96" i="1151" s="1"/>
  <c r="W97" i="1151" s="1"/>
  <c r="W98" i="1151" s="1"/>
  <c r="W99" i="1151" s="1"/>
  <c r="W100" i="1151" s="1"/>
  <c r="W101" i="1151" s="1"/>
  <c r="W102" i="1151" s="1"/>
  <c r="W103" i="1151" s="1"/>
  <c r="W104" i="1151" s="1"/>
  <c r="W105" i="1151" s="1"/>
  <c r="W106" i="1151" s="1"/>
  <c r="W107" i="1151" s="1"/>
  <c r="W108" i="1151" s="1"/>
  <c r="W109" i="1151" s="1"/>
  <c r="W110" i="1151" s="1"/>
  <c r="W111" i="1151" s="1"/>
  <c r="W112" i="1151" s="1"/>
  <c r="W113" i="1151" s="1"/>
  <c r="W114" i="1151" s="1"/>
  <c r="W115" i="1151" s="1"/>
  <c r="W116" i="1151" s="1"/>
  <c r="W117" i="1151" s="1"/>
  <c r="W118" i="1151" s="1"/>
  <c r="W119" i="1151" s="1"/>
  <c r="W120" i="1151" s="1"/>
  <c r="W121" i="1151" s="1"/>
  <c r="W122" i="1151" s="1"/>
  <c r="W123" i="1151" s="1"/>
  <c r="W124" i="1151" s="1"/>
  <c r="U5" i="1151"/>
  <c r="U6" i="1151" s="1"/>
  <c r="U7" i="1151" s="1"/>
  <c r="U8" i="1151" s="1"/>
  <c r="U9" i="1151" s="1"/>
  <c r="U10" i="1151" s="1"/>
  <c r="U11" i="1151" s="1"/>
  <c r="U12" i="1151" s="1"/>
  <c r="U13" i="1151" s="1"/>
  <c r="U14" i="1151" s="1"/>
  <c r="U15" i="1151" s="1"/>
  <c r="U16" i="1151" s="1"/>
  <c r="U17" i="1151" s="1"/>
  <c r="U18" i="1151" s="1"/>
  <c r="U19" i="1151" s="1"/>
  <c r="U20" i="1151" s="1"/>
  <c r="U21" i="1151" s="1"/>
  <c r="U22" i="1151" s="1"/>
  <c r="U23" i="1151" s="1"/>
  <c r="U24" i="1151" s="1"/>
  <c r="U25" i="1151" s="1"/>
  <c r="U26" i="1151" s="1"/>
  <c r="U27" i="1151" s="1"/>
  <c r="U28" i="1151" s="1"/>
  <c r="U29" i="1151" s="1"/>
  <c r="U30" i="1151" s="1"/>
  <c r="U31" i="1151" s="1"/>
  <c r="U32" i="1151" s="1"/>
  <c r="U33" i="1151" s="1"/>
  <c r="U34" i="1151" s="1"/>
  <c r="U35" i="1151" s="1"/>
  <c r="U36" i="1151" s="1"/>
  <c r="U37" i="1151" s="1"/>
  <c r="U38" i="1151" s="1"/>
  <c r="U39" i="1151" s="1"/>
  <c r="U40" i="1151" s="1"/>
  <c r="U41" i="1151" s="1"/>
  <c r="U42" i="1151" s="1"/>
  <c r="U43" i="1151" s="1"/>
  <c r="U44" i="1151" s="1"/>
  <c r="U45" i="1151" s="1"/>
  <c r="U46" i="1151" s="1"/>
  <c r="U47" i="1151" s="1"/>
  <c r="U48" i="1151" s="1"/>
  <c r="U49" i="1151" s="1"/>
  <c r="U50" i="1151" s="1"/>
  <c r="U51" i="1151" s="1"/>
  <c r="U52" i="1151" s="1"/>
  <c r="U53" i="1151" s="1"/>
  <c r="U54" i="1151" s="1"/>
  <c r="U55" i="1151" s="1"/>
  <c r="U56" i="1151" s="1"/>
  <c r="U57" i="1151" s="1"/>
  <c r="U58" i="1151" s="1"/>
  <c r="U59" i="1151" s="1"/>
  <c r="U60" i="1151" s="1"/>
  <c r="U61" i="1151" s="1"/>
  <c r="U62" i="1151" s="1"/>
  <c r="U63" i="1151" s="1"/>
  <c r="U64" i="1151" s="1"/>
  <c r="U65" i="1151" s="1"/>
  <c r="U66" i="1151" s="1"/>
  <c r="U67" i="1151" s="1"/>
  <c r="U68" i="1151" s="1"/>
  <c r="U69" i="1151" s="1"/>
  <c r="U70" i="1151" s="1"/>
  <c r="U71" i="1151" s="1"/>
  <c r="U72" i="1151" s="1"/>
  <c r="U73" i="1151" s="1"/>
  <c r="U74" i="1151" s="1"/>
  <c r="U75" i="1151" s="1"/>
  <c r="U76" i="1151" s="1"/>
  <c r="U77" i="1151" s="1"/>
  <c r="U78" i="1151" s="1"/>
  <c r="U79" i="1151" s="1"/>
  <c r="U80" i="1151" s="1"/>
  <c r="U81" i="1151" s="1"/>
  <c r="U82" i="1151" s="1"/>
  <c r="U83" i="1151" s="1"/>
  <c r="U84" i="1151" s="1"/>
  <c r="U85" i="1151" s="1"/>
  <c r="U86" i="1151" s="1"/>
  <c r="U87" i="1151" s="1"/>
  <c r="U88" i="1151" s="1"/>
  <c r="U89" i="1151" s="1"/>
  <c r="U90" i="1151" s="1"/>
  <c r="U91" i="1151" s="1"/>
  <c r="U92" i="1151" s="1"/>
  <c r="U93" i="1151" s="1"/>
  <c r="U94" i="1151" s="1"/>
  <c r="U95" i="1151" s="1"/>
  <c r="U96" i="1151" s="1"/>
  <c r="U97" i="1151" s="1"/>
  <c r="U98" i="1151" s="1"/>
  <c r="U99" i="1151" s="1"/>
  <c r="U100" i="1151" s="1"/>
  <c r="U101" i="1151" s="1"/>
  <c r="U102" i="1151" s="1"/>
  <c r="U103" i="1151" s="1"/>
  <c r="U104" i="1151" s="1"/>
  <c r="U105" i="1151" s="1"/>
  <c r="U106" i="1151" s="1"/>
  <c r="U107" i="1151" s="1"/>
  <c r="U108" i="1151" s="1"/>
  <c r="U109" i="1151" s="1"/>
  <c r="U110" i="1151" s="1"/>
  <c r="U111" i="1151" s="1"/>
  <c r="U112" i="1151" s="1"/>
  <c r="U113" i="1151" s="1"/>
  <c r="U114" i="1151" s="1"/>
  <c r="U115" i="1151" s="1"/>
  <c r="U116" i="1151" s="1"/>
  <c r="U117" i="1151" s="1"/>
  <c r="U118" i="1151" s="1"/>
  <c r="U119" i="1151" s="1"/>
  <c r="U120" i="1151" s="1"/>
  <c r="U121" i="1151" s="1"/>
  <c r="U122" i="1151" s="1"/>
  <c r="U123" i="1151" s="1"/>
  <c r="U124" i="1151" s="1"/>
  <c r="S6" i="1151"/>
  <c r="S7" i="1151" s="1"/>
  <c r="S8" i="1151" s="1"/>
  <c r="S9" i="1151" s="1"/>
  <c r="S10" i="1151" s="1"/>
  <c r="S11" i="1151" s="1"/>
  <c r="S12" i="1151" s="1"/>
  <c r="S13" i="1151" s="1"/>
  <c r="S14" i="1151" s="1"/>
  <c r="S15" i="1151" s="1"/>
  <c r="S16" i="1151" s="1"/>
  <c r="S17" i="1151" s="1"/>
  <c r="S18" i="1151" s="1"/>
  <c r="S19" i="1151" s="1"/>
  <c r="S20" i="1151" s="1"/>
  <c r="S21" i="1151" s="1"/>
  <c r="S22" i="1151" s="1"/>
  <c r="S23" i="1151" s="1"/>
  <c r="S24" i="1151" s="1"/>
  <c r="S25" i="1151" s="1"/>
  <c r="S26" i="1151" s="1"/>
  <c r="S27" i="1151" s="1"/>
  <c r="S28" i="1151" s="1"/>
  <c r="S29" i="1151" s="1"/>
  <c r="S30" i="1151" s="1"/>
  <c r="S31" i="1151" s="1"/>
  <c r="S32" i="1151" s="1"/>
  <c r="S33" i="1151" s="1"/>
  <c r="S34" i="1151" s="1"/>
  <c r="S35" i="1151" s="1"/>
  <c r="S36" i="1151" s="1"/>
  <c r="S37" i="1151" s="1"/>
  <c r="S38" i="1151" s="1"/>
  <c r="S39" i="1151" s="1"/>
  <c r="S40" i="1151" s="1"/>
  <c r="S41" i="1151" s="1"/>
  <c r="S42" i="1151" s="1"/>
  <c r="S43" i="1151" s="1"/>
  <c r="S44" i="1151" s="1"/>
  <c r="S45" i="1151" s="1"/>
  <c r="S46" i="1151" s="1"/>
  <c r="S47" i="1151" s="1"/>
  <c r="S48" i="1151" s="1"/>
  <c r="S49" i="1151" s="1"/>
  <c r="S50" i="1151" s="1"/>
  <c r="S51" i="1151" s="1"/>
  <c r="S52" i="1151" s="1"/>
  <c r="S53" i="1151" s="1"/>
  <c r="S54" i="1151" s="1"/>
  <c r="S55" i="1151" s="1"/>
  <c r="S56" i="1151" s="1"/>
  <c r="S57" i="1151" s="1"/>
  <c r="S58" i="1151" s="1"/>
  <c r="S59" i="1151" s="1"/>
  <c r="S60" i="1151" s="1"/>
  <c r="S61" i="1151" s="1"/>
  <c r="S62" i="1151" s="1"/>
  <c r="S63" i="1151" s="1"/>
  <c r="S64" i="1151" s="1"/>
  <c r="S65" i="1151" s="1"/>
  <c r="S66" i="1151" s="1"/>
  <c r="S67" i="1151" s="1"/>
  <c r="S68" i="1151" s="1"/>
  <c r="S69" i="1151" s="1"/>
  <c r="S70" i="1151" s="1"/>
  <c r="S71" i="1151" s="1"/>
  <c r="S72" i="1151" s="1"/>
  <c r="S73" i="1151" s="1"/>
  <c r="S74" i="1151" s="1"/>
  <c r="S75" i="1151" s="1"/>
  <c r="S76" i="1151" s="1"/>
  <c r="S77" i="1151" s="1"/>
  <c r="S78" i="1151" s="1"/>
  <c r="S79" i="1151" s="1"/>
  <c r="S80" i="1151" s="1"/>
  <c r="S81" i="1151" s="1"/>
  <c r="S82" i="1151" s="1"/>
  <c r="S83" i="1151" s="1"/>
  <c r="S84" i="1151" s="1"/>
  <c r="S85" i="1151" s="1"/>
  <c r="S86" i="1151" s="1"/>
  <c r="S87" i="1151" s="1"/>
  <c r="S88" i="1151" s="1"/>
  <c r="S89" i="1151" s="1"/>
  <c r="S90" i="1151" s="1"/>
  <c r="S91" i="1151" s="1"/>
  <c r="S92" i="1151" s="1"/>
  <c r="S93" i="1151" s="1"/>
  <c r="S94" i="1151" s="1"/>
  <c r="S95" i="1151" s="1"/>
  <c r="S96" i="1151" s="1"/>
  <c r="S97" i="1151" s="1"/>
  <c r="S98" i="1151" s="1"/>
  <c r="S99" i="1151" s="1"/>
  <c r="S100" i="1151" s="1"/>
  <c r="S101" i="1151" s="1"/>
  <c r="S102" i="1151" s="1"/>
  <c r="S103" i="1151" s="1"/>
  <c r="S104" i="1151" s="1"/>
  <c r="S105" i="1151" s="1"/>
  <c r="S106" i="1151" s="1"/>
  <c r="S107" i="1151" s="1"/>
  <c r="S108" i="1151" s="1"/>
  <c r="S109" i="1151" s="1"/>
  <c r="S110" i="1151" s="1"/>
  <c r="S111" i="1151" s="1"/>
  <c r="S112" i="1151" s="1"/>
  <c r="S113" i="1151" s="1"/>
  <c r="S114" i="1151" s="1"/>
  <c r="S115" i="1151" s="1"/>
  <c r="S116" i="1151" s="1"/>
  <c r="S117" i="1151" s="1"/>
  <c r="S118" i="1151" s="1"/>
  <c r="S119" i="1151" s="1"/>
  <c r="S120" i="1151" s="1"/>
  <c r="S121" i="1151" s="1"/>
  <c r="S122" i="1151" s="1"/>
  <c r="S123" i="1151" s="1"/>
  <c r="S124" i="1151" s="1"/>
  <c r="S5" i="1151"/>
  <c r="Q6" i="1151"/>
  <c r="Q7" i="1151" s="1"/>
  <c r="Q8" i="1151" s="1"/>
  <c r="Q9" i="1151" s="1"/>
  <c r="Q10" i="1151" s="1"/>
  <c r="Q11" i="1151" s="1"/>
  <c r="Q12" i="1151" s="1"/>
  <c r="Q13" i="1151" s="1"/>
  <c r="Q14" i="1151" s="1"/>
  <c r="Q15" i="1151" s="1"/>
  <c r="Q16" i="1151" s="1"/>
  <c r="Q17" i="1151" s="1"/>
  <c r="Q18" i="1151" s="1"/>
  <c r="Q19" i="1151" s="1"/>
  <c r="Q20" i="1151" s="1"/>
  <c r="Q21" i="1151" s="1"/>
  <c r="Q22" i="1151" s="1"/>
  <c r="Q23" i="1151" s="1"/>
  <c r="Q24" i="1151" s="1"/>
  <c r="Q25" i="1151" s="1"/>
  <c r="Q26" i="1151" s="1"/>
  <c r="Q27" i="1151" s="1"/>
  <c r="Q28" i="1151" s="1"/>
  <c r="Q29" i="1151" s="1"/>
  <c r="Q30" i="1151" s="1"/>
  <c r="Q31" i="1151" s="1"/>
  <c r="Q32" i="1151" s="1"/>
  <c r="Q33" i="1151" s="1"/>
  <c r="Q34" i="1151" s="1"/>
  <c r="Q35" i="1151" s="1"/>
  <c r="Q36" i="1151" s="1"/>
  <c r="Q37" i="1151" s="1"/>
  <c r="Q38" i="1151" s="1"/>
  <c r="Q39" i="1151" s="1"/>
  <c r="Q40" i="1151" s="1"/>
  <c r="Q41" i="1151" s="1"/>
  <c r="Q42" i="1151" s="1"/>
  <c r="Q43" i="1151" s="1"/>
  <c r="Q44" i="1151" s="1"/>
  <c r="Q45" i="1151" s="1"/>
  <c r="Q46" i="1151" s="1"/>
  <c r="Q47" i="1151" s="1"/>
  <c r="Q48" i="1151" s="1"/>
  <c r="Q49" i="1151" s="1"/>
  <c r="Q50" i="1151" s="1"/>
  <c r="Q51" i="1151" s="1"/>
  <c r="Q52" i="1151" s="1"/>
  <c r="Q53" i="1151" s="1"/>
  <c r="Q54" i="1151" s="1"/>
  <c r="Q55" i="1151" s="1"/>
  <c r="Q56" i="1151" s="1"/>
  <c r="Q57" i="1151" s="1"/>
  <c r="Q58" i="1151" s="1"/>
  <c r="Q59" i="1151" s="1"/>
  <c r="Q60" i="1151" s="1"/>
  <c r="Q61" i="1151" s="1"/>
  <c r="Q62" i="1151" s="1"/>
  <c r="Q63" i="1151" s="1"/>
  <c r="Q64" i="1151" s="1"/>
  <c r="Q65" i="1151" s="1"/>
  <c r="Q66" i="1151" s="1"/>
  <c r="Q67" i="1151" s="1"/>
  <c r="Q68" i="1151" s="1"/>
  <c r="Q69" i="1151" s="1"/>
  <c r="Q70" i="1151" s="1"/>
  <c r="Q71" i="1151" s="1"/>
  <c r="Q72" i="1151" s="1"/>
  <c r="Q73" i="1151" s="1"/>
  <c r="Q74" i="1151" s="1"/>
  <c r="Q75" i="1151" s="1"/>
  <c r="Q76" i="1151" s="1"/>
  <c r="Q77" i="1151" s="1"/>
  <c r="Q78" i="1151" s="1"/>
  <c r="Q79" i="1151" s="1"/>
  <c r="Q80" i="1151" s="1"/>
  <c r="Q81" i="1151" s="1"/>
  <c r="Q82" i="1151" s="1"/>
  <c r="Q83" i="1151" s="1"/>
  <c r="Q84" i="1151" s="1"/>
  <c r="Q85" i="1151" s="1"/>
  <c r="Q86" i="1151" s="1"/>
  <c r="Q87" i="1151" s="1"/>
  <c r="Q88" i="1151" s="1"/>
  <c r="Q89" i="1151" s="1"/>
  <c r="Q90" i="1151" s="1"/>
  <c r="Q91" i="1151" s="1"/>
  <c r="Q92" i="1151" s="1"/>
  <c r="Q93" i="1151" s="1"/>
  <c r="Q94" i="1151" s="1"/>
  <c r="Q95" i="1151" s="1"/>
  <c r="Q96" i="1151" s="1"/>
  <c r="Q97" i="1151" s="1"/>
  <c r="Q98" i="1151" s="1"/>
  <c r="Q99" i="1151" s="1"/>
  <c r="Q100" i="1151" s="1"/>
  <c r="Q101" i="1151" s="1"/>
  <c r="Q102" i="1151" s="1"/>
  <c r="Q103" i="1151" s="1"/>
  <c r="Q104" i="1151" s="1"/>
  <c r="Q105" i="1151" s="1"/>
  <c r="Q106" i="1151" s="1"/>
  <c r="Q107" i="1151" s="1"/>
  <c r="Q108" i="1151" s="1"/>
  <c r="Q109" i="1151" s="1"/>
  <c r="Q110" i="1151" s="1"/>
  <c r="Q111" i="1151" s="1"/>
  <c r="Q112" i="1151" s="1"/>
  <c r="Q113" i="1151" s="1"/>
  <c r="Q114" i="1151" s="1"/>
  <c r="Q115" i="1151" s="1"/>
  <c r="Q116" i="1151" s="1"/>
  <c r="Q117" i="1151" s="1"/>
  <c r="Q118" i="1151" s="1"/>
  <c r="Q119" i="1151" s="1"/>
  <c r="Q120" i="1151" s="1"/>
  <c r="Q121" i="1151" s="1"/>
  <c r="Q122" i="1151" s="1"/>
  <c r="Q123" i="1151" s="1"/>
  <c r="Q124" i="1151" s="1"/>
  <c r="Q5" i="1151"/>
  <c r="O5" i="1151"/>
  <c r="O6" i="1151" s="1"/>
  <c r="O7" i="1151" s="1"/>
  <c r="O8" i="1151" s="1"/>
  <c r="O9" i="1151" s="1"/>
  <c r="O10" i="1151" s="1"/>
  <c r="O11" i="1151" s="1"/>
  <c r="O12" i="1151" s="1"/>
  <c r="O13" i="1151" s="1"/>
  <c r="O14" i="1151" s="1"/>
  <c r="O15" i="1151" s="1"/>
  <c r="O16" i="1151" s="1"/>
  <c r="O17" i="1151" s="1"/>
  <c r="O18" i="1151" s="1"/>
  <c r="O19" i="1151" s="1"/>
  <c r="O20" i="1151" s="1"/>
  <c r="O21" i="1151" s="1"/>
  <c r="O22" i="1151" s="1"/>
  <c r="O23" i="1151" s="1"/>
  <c r="O24" i="1151" s="1"/>
  <c r="O25" i="1151" s="1"/>
  <c r="O26" i="1151" s="1"/>
  <c r="O27" i="1151" s="1"/>
  <c r="O28" i="1151" s="1"/>
  <c r="O29" i="1151" s="1"/>
  <c r="O30" i="1151" s="1"/>
  <c r="O31" i="1151" s="1"/>
  <c r="O32" i="1151" s="1"/>
  <c r="O33" i="1151" s="1"/>
  <c r="O34" i="1151" s="1"/>
  <c r="O35" i="1151" s="1"/>
  <c r="O36" i="1151" s="1"/>
  <c r="O37" i="1151" s="1"/>
  <c r="O38" i="1151" s="1"/>
  <c r="O39" i="1151" s="1"/>
  <c r="O40" i="1151" s="1"/>
  <c r="O41" i="1151" s="1"/>
  <c r="O42" i="1151" s="1"/>
  <c r="O43" i="1151" s="1"/>
  <c r="O44" i="1151" s="1"/>
  <c r="O45" i="1151" s="1"/>
  <c r="O46" i="1151" s="1"/>
  <c r="O47" i="1151" s="1"/>
  <c r="O48" i="1151" s="1"/>
  <c r="O49" i="1151" s="1"/>
  <c r="O50" i="1151" s="1"/>
  <c r="O51" i="1151" s="1"/>
  <c r="O52" i="1151" s="1"/>
  <c r="O53" i="1151" s="1"/>
  <c r="O54" i="1151" s="1"/>
  <c r="O55" i="1151" s="1"/>
  <c r="O56" i="1151" s="1"/>
  <c r="O57" i="1151" s="1"/>
  <c r="O58" i="1151" s="1"/>
  <c r="O59" i="1151" s="1"/>
  <c r="O60" i="1151" s="1"/>
  <c r="O61" i="1151" s="1"/>
  <c r="O62" i="1151" s="1"/>
  <c r="O63" i="1151" s="1"/>
  <c r="O64" i="1151" s="1"/>
  <c r="O65" i="1151" s="1"/>
  <c r="O66" i="1151" s="1"/>
  <c r="O67" i="1151" s="1"/>
  <c r="O68" i="1151" s="1"/>
  <c r="O69" i="1151" s="1"/>
  <c r="O70" i="1151" s="1"/>
  <c r="O71" i="1151" s="1"/>
  <c r="O72" i="1151" s="1"/>
  <c r="O73" i="1151" s="1"/>
  <c r="O74" i="1151" s="1"/>
  <c r="O75" i="1151" s="1"/>
  <c r="O76" i="1151" s="1"/>
  <c r="O77" i="1151" s="1"/>
  <c r="O78" i="1151" s="1"/>
  <c r="O79" i="1151" s="1"/>
  <c r="O80" i="1151" s="1"/>
  <c r="O81" i="1151" s="1"/>
  <c r="O82" i="1151" s="1"/>
  <c r="O83" i="1151" s="1"/>
  <c r="O84" i="1151" s="1"/>
  <c r="O85" i="1151" s="1"/>
  <c r="O86" i="1151" s="1"/>
  <c r="O87" i="1151" s="1"/>
  <c r="O88" i="1151" s="1"/>
  <c r="O89" i="1151" s="1"/>
  <c r="O90" i="1151" s="1"/>
  <c r="O91" i="1151" s="1"/>
  <c r="O92" i="1151" s="1"/>
  <c r="O93" i="1151" s="1"/>
  <c r="O94" i="1151" s="1"/>
  <c r="O95" i="1151" s="1"/>
  <c r="O96" i="1151" s="1"/>
  <c r="O97" i="1151" s="1"/>
  <c r="O98" i="1151" s="1"/>
  <c r="O99" i="1151" s="1"/>
  <c r="O100" i="1151" s="1"/>
  <c r="O101" i="1151" s="1"/>
  <c r="O102" i="1151" s="1"/>
  <c r="O103" i="1151" s="1"/>
  <c r="O104" i="1151" s="1"/>
  <c r="O105" i="1151" s="1"/>
  <c r="O106" i="1151" s="1"/>
  <c r="O107" i="1151" s="1"/>
  <c r="O108" i="1151" s="1"/>
  <c r="O109" i="1151" s="1"/>
  <c r="O110" i="1151" s="1"/>
  <c r="O111" i="1151" s="1"/>
  <c r="O112" i="1151" s="1"/>
  <c r="O113" i="1151" s="1"/>
  <c r="O114" i="1151" s="1"/>
  <c r="O115" i="1151" s="1"/>
  <c r="O116" i="1151" s="1"/>
  <c r="O117" i="1151" s="1"/>
  <c r="O118" i="1151" s="1"/>
  <c r="O119" i="1151" s="1"/>
  <c r="O120" i="1151" s="1"/>
  <c r="O121" i="1151" s="1"/>
  <c r="O122" i="1151" s="1"/>
  <c r="O123" i="1151" s="1"/>
  <c r="O124" i="1151" s="1"/>
  <c r="M5" i="1151"/>
  <c r="M6" i="1151" s="1"/>
  <c r="M7" i="1151" s="1"/>
  <c r="M8" i="1151" s="1"/>
  <c r="M9" i="1151" s="1"/>
  <c r="M10" i="1151" s="1"/>
  <c r="M11" i="1151" s="1"/>
  <c r="M12" i="1151" s="1"/>
  <c r="M13" i="1151" s="1"/>
  <c r="M14" i="1151" s="1"/>
  <c r="M15" i="1151" s="1"/>
  <c r="M16" i="1151" s="1"/>
  <c r="M17" i="1151" s="1"/>
  <c r="M18" i="1151" s="1"/>
  <c r="M19" i="1151" s="1"/>
  <c r="M20" i="1151" s="1"/>
  <c r="M21" i="1151" s="1"/>
  <c r="M22" i="1151" s="1"/>
  <c r="M23" i="1151" s="1"/>
  <c r="M24" i="1151" s="1"/>
  <c r="M25" i="1151" s="1"/>
  <c r="M26" i="1151" s="1"/>
  <c r="M27" i="1151" s="1"/>
  <c r="M28" i="1151" s="1"/>
  <c r="M29" i="1151" s="1"/>
  <c r="M30" i="1151" s="1"/>
  <c r="M31" i="1151" s="1"/>
  <c r="M32" i="1151" s="1"/>
  <c r="M33" i="1151" s="1"/>
  <c r="M34" i="1151" s="1"/>
  <c r="M35" i="1151" s="1"/>
  <c r="M36" i="1151" s="1"/>
  <c r="M37" i="1151" s="1"/>
  <c r="M38" i="1151" s="1"/>
  <c r="M39" i="1151" s="1"/>
  <c r="M40" i="1151" s="1"/>
  <c r="M41" i="1151" s="1"/>
  <c r="M42" i="1151" s="1"/>
  <c r="M43" i="1151" s="1"/>
  <c r="M44" i="1151" s="1"/>
  <c r="M45" i="1151" s="1"/>
  <c r="M46" i="1151" s="1"/>
  <c r="M47" i="1151" s="1"/>
  <c r="M48" i="1151" s="1"/>
  <c r="M49" i="1151" s="1"/>
  <c r="M50" i="1151" s="1"/>
  <c r="M51" i="1151" s="1"/>
  <c r="M52" i="1151" s="1"/>
  <c r="M53" i="1151" s="1"/>
  <c r="M54" i="1151" s="1"/>
  <c r="M55" i="1151" s="1"/>
  <c r="M56" i="1151" s="1"/>
  <c r="M57" i="1151" s="1"/>
  <c r="M58" i="1151" s="1"/>
  <c r="M59" i="1151" s="1"/>
  <c r="M60" i="1151" s="1"/>
  <c r="M61" i="1151" s="1"/>
  <c r="M62" i="1151" s="1"/>
  <c r="M63" i="1151" s="1"/>
  <c r="M64" i="1151" s="1"/>
  <c r="M65" i="1151" s="1"/>
  <c r="M66" i="1151" s="1"/>
  <c r="M67" i="1151" s="1"/>
  <c r="M68" i="1151" s="1"/>
  <c r="M69" i="1151" s="1"/>
  <c r="M70" i="1151" s="1"/>
  <c r="M71" i="1151" s="1"/>
  <c r="M72" i="1151" s="1"/>
  <c r="M73" i="1151" s="1"/>
  <c r="M74" i="1151" s="1"/>
  <c r="M75" i="1151" s="1"/>
  <c r="M76" i="1151" s="1"/>
  <c r="M77" i="1151" s="1"/>
  <c r="M78" i="1151" s="1"/>
  <c r="M79" i="1151" s="1"/>
  <c r="M80" i="1151" s="1"/>
  <c r="M81" i="1151" s="1"/>
  <c r="M82" i="1151" s="1"/>
  <c r="M83" i="1151" s="1"/>
  <c r="M84" i="1151" s="1"/>
  <c r="M85" i="1151" s="1"/>
  <c r="M86" i="1151" s="1"/>
  <c r="M87" i="1151" s="1"/>
  <c r="M88" i="1151" s="1"/>
  <c r="M89" i="1151" s="1"/>
  <c r="M90" i="1151" s="1"/>
  <c r="M91" i="1151" s="1"/>
  <c r="M92" i="1151" s="1"/>
  <c r="M93" i="1151" s="1"/>
  <c r="M94" i="1151" s="1"/>
  <c r="M95" i="1151" s="1"/>
  <c r="M96" i="1151" s="1"/>
  <c r="M97" i="1151" s="1"/>
  <c r="M98" i="1151" s="1"/>
  <c r="M99" i="1151" s="1"/>
  <c r="M100" i="1151" s="1"/>
  <c r="M101" i="1151" s="1"/>
  <c r="M102" i="1151" s="1"/>
  <c r="M103" i="1151" s="1"/>
  <c r="M104" i="1151" s="1"/>
  <c r="M105" i="1151" s="1"/>
  <c r="M106" i="1151" s="1"/>
  <c r="M107" i="1151" s="1"/>
  <c r="M108" i="1151" s="1"/>
  <c r="M109" i="1151" s="1"/>
  <c r="M110" i="1151" s="1"/>
  <c r="M111" i="1151" s="1"/>
  <c r="M112" i="1151" s="1"/>
  <c r="M113" i="1151" s="1"/>
  <c r="M114" i="1151" s="1"/>
  <c r="M115" i="1151" s="1"/>
  <c r="M116" i="1151" s="1"/>
  <c r="M117" i="1151" s="1"/>
  <c r="M118" i="1151" s="1"/>
  <c r="M119" i="1151" s="1"/>
  <c r="M120" i="1151" s="1"/>
  <c r="M121" i="1151" s="1"/>
  <c r="M122" i="1151" s="1"/>
  <c r="M123" i="1151" s="1"/>
  <c r="M124" i="1151" s="1"/>
  <c r="K5" i="1151"/>
  <c r="K6" i="1151" s="1"/>
  <c r="K7" i="1151" s="1"/>
  <c r="K8" i="1151" s="1"/>
  <c r="K9" i="1151" s="1"/>
  <c r="K10" i="1151" s="1"/>
  <c r="K11" i="1151" s="1"/>
  <c r="K12" i="1151" s="1"/>
  <c r="K13" i="1151" s="1"/>
  <c r="K14" i="1151" s="1"/>
  <c r="K15" i="1151" s="1"/>
  <c r="K16" i="1151" s="1"/>
  <c r="K17" i="1151" s="1"/>
  <c r="K18" i="1151" s="1"/>
  <c r="K19" i="1151" s="1"/>
  <c r="K20" i="1151" s="1"/>
  <c r="K21" i="1151" s="1"/>
  <c r="K22" i="1151" s="1"/>
  <c r="K23" i="1151" s="1"/>
  <c r="K24" i="1151" s="1"/>
  <c r="K25" i="1151" s="1"/>
  <c r="K26" i="1151" s="1"/>
  <c r="K27" i="1151" s="1"/>
  <c r="K28" i="1151" s="1"/>
  <c r="K29" i="1151" s="1"/>
  <c r="K30" i="1151" s="1"/>
  <c r="K31" i="1151" s="1"/>
  <c r="K32" i="1151" s="1"/>
  <c r="K33" i="1151" s="1"/>
  <c r="K34" i="1151" s="1"/>
  <c r="K35" i="1151" s="1"/>
  <c r="K36" i="1151" s="1"/>
  <c r="K37" i="1151" s="1"/>
  <c r="K38" i="1151" s="1"/>
  <c r="K39" i="1151" s="1"/>
  <c r="K40" i="1151" s="1"/>
  <c r="K41" i="1151" s="1"/>
  <c r="K42" i="1151" s="1"/>
  <c r="K43" i="1151" s="1"/>
  <c r="K44" i="1151" s="1"/>
  <c r="K45" i="1151" s="1"/>
  <c r="K46" i="1151" s="1"/>
  <c r="K47" i="1151" s="1"/>
  <c r="K48" i="1151" s="1"/>
  <c r="K49" i="1151" s="1"/>
  <c r="K50" i="1151" s="1"/>
  <c r="K51" i="1151" s="1"/>
  <c r="K52" i="1151" s="1"/>
  <c r="K53" i="1151" s="1"/>
  <c r="K54" i="1151" s="1"/>
  <c r="K55" i="1151" s="1"/>
  <c r="K56" i="1151" s="1"/>
  <c r="K57" i="1151" s="1"/>
  <c r="K58" i="1151" s="1"/>
  <c r="K59" i="1151" s="1"/>
  <c r="K60" i="1151" s="1"/>
  <c r="K61" i="1151" s="1"/>
  <c r="K62" i="1151" s="1"/>
  <c r="K63" i="1151" s="1"/>
  <c r="K64" i="1151" s="1"/>
  <c r="K65" i="1151" s="1"/>
  <c r="K66" i="1151" s="1"/>
  <c r="K67" i="1151" s="1"/>
  <c r="K68" i="1151" s="1"/>
  <c r="K69" i="1151" s="1"/>
  <c r="K70" i="1151" s="1"/>
  <c r="K71" i="1151" s="1"/>
  <c r="K72" i="1151" s="1"/>
  <c r="K73" i="1151" s="1"/>
  <c r="K74" i="1151" s="1"/>
  <c r="K75" i="1151" s="1"/>
  <c r="K76" i="1151" s="1"/>
  <c r="K77" i="1151" s="1"/>
  <c r="K78" i="1151" s="1"/>
  <c r="K79" i="1151" s="1"/>
  <c r="K80" i="1151" s="1"/>
  <c r="K81" i="1151" s="1"/>
  <c r="K82" i="1151" s="1"/>
  <c r="K83" i="1151" s="1"/>
  <c r="K84" i="1151" s="1"/>
  <c r="K85" i="1151" s="1"/>
  <c r="K86" i="1151" s="1"/>
  <c r="K87" i="1151" s="1"/>
  <c r="K88" i="1151" s="1"/>
  <c r="K89" i="1151" s="1"/>
  <c r="K90" i="1151" s="1"/>
  <c r="K91" i="1151" s="1"/>
  <c r="K92" i="1151" s="1"/>
  <c r="K93" i="1151" s="1"/>
  <c r="K94" i="1151" s="1"/>
  <c r="K95" i="1151" s="1"/>
  <c r="K96" i="1151" s="1"/>
  <c r="K97" i="1151" s="1"/>
  <c r="K98" i="1151" s="1"/>
  <c r="K99" i="1151" s="1"/>
  <c r="K100" i="1151" s="1"/>
  <c r="K101" i="1151" s="1"/>
  <c r="K102" i="1151" s="1"/>
  <c r="K103" i="1151" s="1"/>
  <c r="K104" i="1151" s="1"/>
  <c r="K105" i="1151" s="1"/>
  <c r="K106" i="1151" s="1"/>
  <c r="K107" i="1151" s="1"/>
  <c r="K108" i="1151" s="1"/>
  <c r="K109" i="1151" s="1"/>
  <c r="K110" i="1151" s="1"/>
  <c r="K111" i="1151" s="1"/>
  <c r="K112" i="1151" s="1"/>
  <c r="K113" i="1151" s="1"/>
  <c r="K114" i="1151" s="1"/>
  <c r="K115" i="1151" s="1"/>
  <c r="K116" i="1151" s="1"/>
  <c r="K117" i="1151" s="1"/>
  <c r="K118" i="1151" s="1"/>
  <c r="K119" i="1151" s="1"/>
  <c r="K120" i="1151" s="1"/>
  <c r="K121" i="1151" s="1"/>
  <c r="K122" i="1151" s="1"/>
  <c r="K123" i="1151" s="1"/>
  <c r="K124" i="1151" s="1"/>
  <c r="I5" i="1151"/>
  <c r="I6" i="1151" s="1"/>
  <c r="I7" i="1151" s="1"/>
  <c r="I8" i="1151" s="1"/>
  <c r="I9" i="1151" s="1"/>
  <c r="I10" i="1151" s="1"/>
  <c r="I11" i="1151" s="1"/>
  <c r="I12" i="1151" s="1"/>
  <c r="I13" i="1151" s="1"/>
  <c r="I14" i="1151" s="1"/>
  <c r="I15" i="1151" s="1"/>
  <c r="I16" i="1151" s="1"/>
  <c r="I17" i="1151" s="1"/>
  <c r="I18" i="1151" s="1"/>
  <c r="I19" i="1151" s="1"/>
  <c r="I20" i="1151" s="1"/>
  <c r="I21" i="1151" s="1"/>
  <c r="I22" i="1151" s="1"/>
  <c r="I23" i="1151" s="1"/>
  <c r="I24" i="1151" s="1"/>
  <c r="I25" i="1151" s="1"/>
  <c r="I26" i="1151" s="1"/>
  <c r="I27" i="1151" s="1"/>
  <c r="I28" i="1151" s="1"/>
  <c r="I29" i="1151" s="1"/>
  <c r="I30" i="1151" s="1"/>
  <c r="I31" i="1151" s="1"/>
  <c r="I32" i="1151" s="1"/>
  <c r="I33" i="1151" s="1"/>
  <c r="I34" i="1151" s="1"/>
  <c r="I35" i="1151" s="1"/>
  <c r="I36" i="1151" s="1"/>
  <c r="I37" i="1151" s="1"/>
  <c r="I38" i="1151" s="1"/>
  <c r="I39" i="1151" s="1"/>
  <c r="I40" i="1151" s="1"/>
  <c r="I41" i="1151" s="1"/>
  <c r="I42" i="1151" s="1"/>
  <c r="I43" i="1151" s="1"/>
  <c r="I44" i="1151" s="1"/>
  <c r="I45" i="1151" s="1"/>
  <c r="I46" i="1151" s="1"/>
  <c r="I47" i="1151" s="1"/>
  <c r="I48" i="1151" s="1"/>
  <c r="I49" i="1151" s="1"/>
  <c r="I50" i="1151" s="1"/>
  <c r="I51" i="1151" s="1"/>
  <c r="I52" i="1151" s="1"/>
  <c r="I53" i="1151" s="1"/>
  <c r="I54" i="1151" s="1"/>
  <c r="I55" i="1151" s="1"/>
  <c r="I56" i="1151" s="1"/>
  <c r="I57" i="1151" s="1"/>
  <c r="I58" i="1151" s="1"/>
  <c r="I59" i="1151" s="1"/>
  <c r="I60" i="1151" s="1"/>
  <c r="I61" i="1151" s="1"/>
  <c r="I62" i="1151" s="1"/>
  <c r="I63" i="1151" s="1"/>
  <c r="I64" i="1151" s="1"/>
  <c r="I65" i="1151" s="1"/>
  <c r="I66" i="1151" s="1"/>
  <c r="I67" i="1151" s="1"/>
  <c r="I68" i="1151" s="1"/>
  <c r="I69" i="1151" s="1"/>
  <c r="I70" i="1151" s="1"/>
  <c r="I71" i="1151" s="1"/>
  <c r="I72" i="1151" s="1"/>
  <c r="I73" i="1151" s="1"/>
  <c r="I74" i="1151" s="1"/>
  <c r="I75" i="1151" s="1"/>
  <c r="I76" i="1151" s="1"/>
  <c r="I77" i="1151" s="1"/>
  <c r="I78" i="1151" s="1"/>
  <c r="I79" i="1151" s="1"/>
  <c r="I80" i="1151" s="1"/>
  <c r="I81" i="1151" s="1"/>
  <c r="I82" i="1151" s="1"/>
  <c r="I83" i="1151" s="1"/>
  <c r="I84" i="1151" s="1"/>
  <c r="I85" i="1151" s="1"/>
  <c r="I86" i="1151" s="1"/>
  <c r="I87" i="1151" s="1"/>
  <c r="I88" i="1151" s="1"/>
  <c r="I89" i="1151" s="1"/>
  <c r="I90" i="1151" s="1"/>
  <c r="I91" i="1151" s="1"/>
  <c r="I92" i="1151" s="1"/>
  <c r="I93" i="1151" s="1"/>
  <c r="I94" i="1151" s="1"/>
  <c r="I95" i="1151" s="1"/>
  <c r="I96" i="1151" s="1"/>
  <c r="I97" i="1151" s="1"/>
  <c r="I98" i="1151" s="1"/>
  <c r="I99" i="1151" s="1"/>
  <c r="I100" i="1151" s="1"/>
  <c r="I101" i="1151" s="1"/>
  <c r="I102" i="1151" s="1"/>
  <c r="I103" i="1151" s="1"/>
  <c r="I104" i="1151" s="1"/>
  <c r="I105" i="1151" s="1"/>
  <c r="I106" i="1151" s="1"/>
  <c r="I107" i="1151" s="1"/>
  <c r="I108" i="1151" s="1"/>
  <c r="I109" i="1151" s="1"/>
  <c r="I110" i="1151" s="1"/>
  <c r="I111" i="1151" s="1"/>
  <c r="I112" i="1151" s="1"/>
  <c r="I113" i="1151" s="1"/>
  <c r="I114" i="1151" s="1"/>
  <c r="I115" i="1151" s="1"/>
  <c r="I116" i="1151" s="1"/>
  <c r="I117" i="1151" s="1"/>
  <c r="I118" i="1151" s="1"/>
  <c r="I119" i="1151" s="1"/>
  <c r="I120" i="1151" s="1"/>
  <c r="I121" i="1151" s="1"/>
  <c r="I122" i="1151" s="1"/>
  <c r="I123" i="1151" s="1"/>
  <c r="I124" i="1151" s="1"/>
  <c r="G6" i="1151"/>
  <c r="G7" i="1151" s="1"/>
  <c r="G8" i="1151" s="1"/>
  <c r="G9" i="1151" s="1"/>
  <c r="G10" i="1151" s="1"/>
  <c r="G11" i="1151" s="1"/>
  <c r="G12" i="1151" s="1"/>
  <c r="G13" i="1151" s="1"/>
  <c r="G14" i="1151" s="1"/>
  <c r="G15" i="1151" s="1"/>
  <c r="G16" i="1151" s="1"/>
  <c r="G17" i="1151" s="1"/>
  <c r="G18" i="1151" s="1"/>
  <c r="G19" i="1151" s="1"/>
  <c r="G20" i="1151" s="1"/>
  <c r="G21" i="1151" s="1"/>
  <c r="G22" i="1151" s="1"/>
  <c r="G23" i="1151" s="1"/>
  <c r="G24" i="1151" s="1"/>
  <c r="G25" i="1151" s="1"/>
  <c r="G26" i="1151" s="1"/>
  <c r="G27" i="1151" s="1"/>
  <c r="G28" i="1151" s="1"/>
  <c r="G29" i="1151" s="1"/>
  <c r="G30" i="1151" s="1"/>
  <c r="G31" i="1151" s="1"/>
  <c r="G32" i="1151" s="1"/>
  <c r="G33" i="1151" s="1"/>
  <c r="G34" i="1151" s="1"/>
  <c r="G35" i="1151" s="1"/>
  <c r="G36" i="1151" s="1"/>
  <c r="G37" i="1151" s="1"/>
  <c r="G38" i="1151" s="1"/>
  <c r="G39" i="1151" s="1"/>
  <c r="G40" i="1151" s="1"/>
  <c r="G41" i="1151" s="1"/>
  <c r="G42" i="1151" s="1"/>
  <c r="G43" i="1151" s="1"/>
  <c r="G44" i="1151" s="1"/>
  <c r="G45" i="1151" s="1"/>
  <c r="G46" i="1151" s="1"/>
  <c r="G47" i="1151" s="1"/>
  <c r="G48" i="1151" s="1"/>
  <c r="G49" i="1151" s="1"/>
  <c r="G50" i="1151" s="1"/>
  <c r="G51" i="1151" s="1"/>
  <c r="G52" i="1151" s="1"/>
  <c r="G53" i="1151" s="1"/>
  <c r="G54" i="1151" s="1"/>
  <c r="G55" i="1151" s="1"/>
  <c r="G56" i="1151" s="1"/>
  <c r="G57" i="1151" s="1"/>
  <c r="G58" i="1151" s="1"/>
  <c r="G59" i="1151" s="1"/>
  <c r="G60" i="1151" s="1"/>
  <c r="G61" i="1151" s="1"/>
  <c r="G62" i="1151" s="1"/>
  <c r="G63" i="1151" s="1"/>
  <c r="G64" i="1151" s="1"/>
  <c r="G65" i="1151" s="1"/>
  <c r="G66" i="1151" s="1"/>
  <c r="G67" i="1151" s="1"/>
  <c r="G68" i="1151" s="1"/>
  <c r="G69" i="1151" s="1"/>
  <c r="G70" i="1151" s="1"/>
  <c r="G71" i="1151" s="1"/>
  <c r="G72" i="1151" s="1"/>
  <c r="G73" i="1151" s="1"/>
  <c r="G74" i="1151" s="1"/>
  <c r="G75" i="1151" s="1"/>
  <c r="G76" i="1151" s="1"/>
  <c r="G77" i="1151" s="1"/>
  <c r="G78" i="1151" s="1"/>
  <c r="G79" i="1151" s="1"/>
  <c r="G80" i="1151" s="1"/>
  <c r="G81" i="1151" s="1"/>
  <c r="G82" i="1151" s="1"/>
  <c r="G83" i="1151" s="1"/>
  <c r="G84" i="1151" s="1"/>
  <c r="G85" i="1151" s="1"/>
  <c r="G86" i="1151" s="1"/>
  <c r="G87" i="1151" s="1"/>
  <c r="G88" i="1151" s="1"/>
  <c r="G89" i="1151" s="1"/>
  <c r="G90" i="1151" s="1"/>
  <c r="G91" i="1151" s="1"/>
  <c r="G92" i="1151" s="1"/>
  <c r="G93" i="1151" s="1"/>
  <c r="G94" i="1151" s="1"/>
  <c r="G95" i="1151" s="1"/>
  <c r="G96" i="1151" s="1"/>
  <c r="G97" i="1151" s="1"/>
  <c r="G98" i="1151" s="1"/>
  <c r="G99" i="1151" s="1"/>
  <c r="G100" i="1151" s="1"/>
  <c r="G101" i="1151" s="1"/>
  <c r="G102" i="1151" s="1"/>
  <c r="G103" i="1151" s="1"/>
  <c r="G104" i="1151" s="1"/>
  <c r="G105" i="1151" s="1"/>
  <c r="G106" i="1151" s="1"/>
  <c r="G107" i="1151" s="1"/>
  <c r="G108" i="1151" s="1"/>
  <c r="G109" i="1151" s="1"/>
  <c r="G110" i="1151" s="1"/>
  <c r="G111" i="1151" s="1"/>
  <c r="G112" i="1151" s="1"/>
  <c r="G113" i="1151" s="1"/>
  <c r="G114" i="1151" s="1"/>
  <c r="G115" i="1151" s="1"/>
  <c r="G116" i="1151" s="1"/>
  <c r="G117" i="1151" s="1"/>
  <c r="G118" i="1151" s="1"/>
  <c r="G119" i="1151" s="1"/>
  <c r="G120" i="1151" s="1"/>
  <c r="G121" i="1151" s="1"/>
  <c r="G122" i="1151" s="1"/>
  <c r="G123" i="1151" s="1"/>
  <c r="G124" i="1151" s="1"/>
  <c r="G5" i="1151"/>
  <c r="E5" i="1151"/>
  <c r="E6" i="1151" s="1"/>
  <c r="E7" i="1151" s="1"/>
  <c r="E8" i="1151" s="1"/>
  <c r="E9" i="1151" s="1"/>
  <c r="E10" i="1151" s="1"/>
  <c r="E11" i="1151" s="1"/>
  <c r="E12" i="1151" s="1"/>
  <c r="E13" i="1151" s="1"/>
  <c r="E14" i="1151" s="1"/>
  <c r="E15" i="1151" s="1"/>
  <c r="E16" i="1151" s="1"/>
  <c r="E17" i="1151" s="1"/>
  <c r="E18" i="1151" s="1"/>
  <c r="E19" i="1151" s="1"/>
  <c r="E20" i="1151" s="1"/>
  <c r="E21" i="1151" s="1"/>
  <c r="E22" i="1151" s="1"/>
  <c r="E23" i="1151" s="1"/>
  <c r="E24" i="1151" s="1"/>
  <c r="E25" i="1151" s="1"/>
  <c r="E26" i="1151" s="1"/>
  <c r="E27" i="1151" s="1"/>
  <c r="E28" i="1151" s="1"/>
  <c r="E29" i="1151" s="1"/>
  <c r="E30" i="1151" s="1"/>
  <c r="E31" i="1151" s="1"/>
  <c r="E32" i="1151" s="1"/>
  <c r="E33" i="1151" s="1"/>
  <c r="E34" i="1151" s="1"/>
  <c r="E35" i="1151" s="1"/>
  <c r="E36" i="1151" s="1"/>
  <c r="E37" i="1151" s="1"/>
  <c r="E38" i="1151" s="1"/>
  <c r="E39" i="1151" s="1"/>
  <c r="E40" i="1151" s="1"/>
  <c r="E41" i="1151" s="1"/>
  <c r="E42" i="1151" s="1"/>
  <c r="E43" i="1151" s="1"/>
  <c r="E44" i="1151" s="1"/>
  <c r="E45" i="1151" s="1"/>
  <c r="E46" i="1151" s="1"/>
  <c r="E47" i="1151" s="1"/>
  <c r="E48" i="1151" s="1"/>
  <c r="E49" i="1151" s="1"/>
  <c r="E50" i="1151" s="1"/>
  <c r="E51" i="1151" s="1"/>
  <c r="E52" i="1151" s="1"/>
  <c r="E53" i="1151" s="1"/>
  <c r="E54" i="1151" s="1"/>
  <c r="E55" i="1151" s="1"/>
  <c r="E56" i="1151" s="1"/>
  <c r="E57" i="1151" s="1"/>
  <c r="E58" i="1151" s="1"/>
  <c r="E59" i="1151" s="1"/>
  <c r="E60" i="1151" s="1"/>
  <c r="E61" i="1151" s="1"/>
  <c r="E62" i="1151" s="1"/>
  <c r="E63" i="1151" s="1"/>
  <c r="E64" i="1151" s="1"/>
  <c r="E65" i="1151" s="1"/>
  <c r="E66" i="1151" s="1"/>
  <c r="E67" i="1151" s="1"/>
  <c r="E68" i="1151" s="1"/>
  <c r="E69" i="1151" s="1"/>
  <c r="E70" i="1151" s="1"/>
  <c r="E71" i="1151" s="1"/>
  <c r="E72" i="1151" s="1"/>
  <c r="E73" i="1151" s="1"/>
  <c r="E74" i="1151" s="1"/>
  <c r="E75" i="1151" s="1"/>
  <c r="E76" i="1151" s="1"/>
  <c r="E77" i="1151" s="1"/>
  <c r="E78" i="1151" s="1"/>
  <c r="E79" i="1151" s="1"/>
  <c r="E80" i="1151" s="1"/>
  <c r="E81" i="1151" s="1"/>
  <c r="E82" i="1151" s="1"/>
  <c r="E83" i="1151" s="1"/>
  <c r="E84" i="1151" s="1"/>
  <c r="E85" i="1151" s="1"/>
  <c r="E86" i="1151" s="1"/>
  <c r="E87" i="1151" s="1"/>
  <c r="E88" i="1151" s="1"/>
  <c r="E89" i="1151" s="1"/>
  <c r="E90" i="1151" s="1"/>
  <c r="E91" i="1151" s="1"/>
  <c r="E92" i="1151" s="1"/>
  <c r="E93" i="1151" s="1"/>
  <c r="E94" i="1151" s="1"/>
  <c r="E95" i="1151" s="1"/>
  <c r="E96" i="1151" s="1"/>
  <c r="E97" i="1151" s="1"/>
  <c r="E98" i="1151" s="1"/>
  <c r="E99" i="1151" s="1"/>
  <c r="E100" i="1151" s="1"/>
  <c r="E101" i="1151" s="1"/>
  <c r="E102" i="1151" s="1"/>
  <c r="E103" i="1151" s="1"/>
  <c r="E104" i="1151" s="1"/>
  <c r="E105" i="1151" s="1"/>
  <c r="E106" i="1151" s="1"/>
  <c r="E107" i="1151" s="1"/>
  <c r="E108" i="1151" s="1"/>
  <c r="E109" i="1151" s="1"/>
  <c r="E110" i="1151" s="1"/>
  <c r="E111" i="1151" s="1"/>
  <c r="E112" i="1151" s="1"/>
  <c r="E113" i="1151" s="1"/>
  <c r="E114" i="1151" s="1"/>
  <c r="E115" i="1151" s="1"/>
  <c r="E116" i="1151" s="1"/>
  <c r="E117" i="1151" s="1"/>
  <c r="E118" i="1151" s="1"/>
  <c r="E119" i="1151" s="1"/>
  <c r="E120" i="1151" s="1"/>
  <c r="E121" i="1151" s="1"/>
  <c r="E122" i="1151" s="1"/>
  <c r="E123" i="1151" s="1"/>
  <c r="E124" i="1151" s="1"/>
  <c r="C5" i="1151"/>
  <c r="C6" i="1151" s="1"/>
  <c r="C7" i="1151" s="1"/>
  <c r="C8" i="1151" s="1"/>
  <c r="C9" i="1151" s="1"/>
  <c r="C10" i="1151" s="1"/>
  <c r="C11" i="1151" s="1"/>
  <c r="C12" i="1151" s="1"/>
  <c r="C13" i="1151" s="1"/>
  <c r="C14" i="1151" s="1"/>
  <c r="C15" i="1151" s="1"/>
  <c r="C16" i="1151" s="1"/>
  <c r="C17" i="1151" s="1"/>
  <c r="C18" i="1151" s="1"/>
  <c r="C19" i="1151" s="1"/>
  <c r="C20" i="1151" s="1"/>
  <c r="C21" i="1151" s="1"/>
  <c r="C22" i="1151" s="1"/>
  <c r="C23" i="1151" s="1"/>
  <c r="C24" i="1151" s="1"/>
  <c r="C25" i="1151" s="1"/>
  <c r="C26" i="1151" s="1"/>
  <c r="C27" i="1151" s="1"/>
  <c r="C28" i="1151" s="1"/>
  <c r="C29" i="1151" s="1"/>
  <c r="C30" i="1151" s="1"/>
  <c r="C31" i="1151" s="1"/>
  <c r="C32" i="1151" s="1"/>
  <c r="C33" i="1151" s="1"/>
  <c r="C34" i="1151" s="1"/>
  <c r="C35" i="1151" s="1"/>
  <c r="C36" i="1151" s="1"/>
  <c r="C37" i="1151" s="1"/>
  <c r="C38" i="1151" s="1"/>
  <c r="C39" i="1151" s="1"/>
  <c r="C40" i="1151" s="1"/>
  <c r="C41" i="1151" s="1"/>
  <c r="C42" i="1151" s="1"/>
  <c r="C43" i="1151" s="1"/>
  <c r="C44" i="1151" s="1"/>
  <c r="C45" i="1151" s="1"/>
  <c r="C46" i="1151" s="1"/>
  <c r="C47" i="1151" s="1"/>
  <c r="C48" i="1151" s="1"/>
  <c r="C49" i="1151" s="1"/>
  <c r="C50" i="1151" s="1"/>
  <c r="C51" i="1151" s="1"/>
  <c r="C52" i="1151" s="1"/>
  <c r="C53" i="1151" s="1"/>
  <c r="C54" i="1151" s="1"/>
  <c r="C55" i="1151" s="1"/>
  <c r="C56" i="1151" s="1"/>
  <c r="C57" i="1151" s="1"/>
  <c r="C58" i="1151" s="1"/>
  <c r="C59" i="1151" s="1"/>
  <c r="C60" i="1151" s="1"/>
  <c r="C61" i="1151" s="1"/>
  <c r="C62" i="1151" s="1"/>
  <c r="C63" i="1151" s="1"/>
  <c r="C64" i="1151" s="1"/>
  <c r="C65" i="1151" s="1"/>
  <c r="C66" i="1151" s="1"/>
  <c r="C67" i="1151" s="1"/>
  <c r="C68" i="1151" s="1"/>
  <c r="C69" i="1151" s="1"/>
  <c r="C70" i="1151" s="1"/>
  <c r="C71" i="1151" s="1"/>
  <c r="C72" i="1151" s="1"/>
  <c r="C73" i="1151" s="1"/>
  <c r="C74" i="1151" s="1"/>
  <c r="C75" i="1151" s="1"/>
  <c r="C76" i="1151" s="1"/>
  <c r="C77" i="1151" s="1"/>
  <c r="C78" i="1151" s="1"/>
  <c r="C79" i="1151" s="1"/>
  <c r="C80" i="1151" s="1"/>
  <c r="C81" i="1151" s="1"/>
  <c r="C82" i="1151" s="1"/>
  <c r="C83" i="1151" s="1"/>
  <c r="C84" i="1151" s="1"/>
  <c r="C85" i="1151" s="1"/>
  <c r="C86" i="1151" s="1"/>
  <c r="C87" i="1151" s="1"/>
  <c r="C88" i="1151" s="1"/>
  <c r="C89" i="1151" s="1"/>
  <c r="C90" i="1151" s="1"/>
  <c r="C91" i="1151" s="1"/>
  <c r="C92" i="1151" s="1"/>
  <c r="C93" i="1151" s="1"/>
  <c r="C94" i="1151" s="1"/>
  <c r="C95" i="1151" s="1"/>
  <c r="C96" i="1151" s="1"/>
  <c r="C97" i="1151" s="1"/>
  <c r="C98" i="1151" s="1"/>
  <c r="C99" i="1151" s="1"/>
  <c r="C100" i="1151" s="1"/>
  <c r="C101" i="1151" s="1"/>
  <c r="C102" i="1151" s="1"/>
  <c r="C103" i="1151" s="1"/>
  <c r="C104" i="1151" s="1"/>
  <c r="C105" i="1151" s="1"/>
  <c r="C106" i="1151" s="1"/>
  <c r="C107" i="1151" s="1"/>
  <c r="C108" i="1151" s="1"/>
  <c r="C109" i="1151" s="1"/>
  <c r="C110" i="1151" s="1"/>
  <c r="C111" i="1151" s="1"/>
  <c r="C112" i="1151" s="1"/>
  <c r="C113" i="1151" s="1"/>
  <c r="C114" i="1151" s="1"/>
  <c r="C115" i="1151" s="1"/>
  <c r="C116" i="1151" s="1"/>
  <c r="C117" i="1151" s="1"/>
  <c r="C118" i="1151" s="1"/>
  <c r="C119" i="1151" s="1"/>
  <c r="C120" i="1151" s="1"/>
  <c r="C121" i="1151" s="1"/>
  <c r="C122" i="1151" s="1"/>
  <c r="C123" i="1151" s="1"/>
  <c r="C124" i="1151" s="1"/>
  <c r="I4" i="1150"/>
  <c r="I5" i="1150" s="1"/>
  <c r="I6" i="1150" s="1"/>
  <c r="I7" i="1150" s="1"/>
  <c r="I8" i="1150" s="1"/>
  <c r="I9" i="1150" s="1"/>
  <c r="G123" i="1150"/>
  <c r="G122" i="1150"/>
  <c r="G121" i="1150"/>
  <c r="G120" i="1150"/>
  <c r="G119" i="1150"/>
  <c r="G118" i="1150"/>
  <c r="G117" i="1150"/>
  <c r="G116" i="1150"/>
  <c r="G115" i="1150"/>
  <c r="G114" i="1150"/>
  <c r="G113" i="1150"/>
  <c r="G112" i="1150"/>
  <c r="G111" i="1150"/>
  <c r="G110" i="1150"/>
  <c r="G109" i="1150"/>
  <c r="G108" i="1150"/>
  <c r="G107" i="1150"/>
  <c r="G106" i="1150"/>
  <c r="G105" i="1150"/>
  <c r="G104" i="1150"/>
  <c r="G103" i="1150"/>
  <c r="G102" i="1150"/>
  <c r="G101" i="1150"/>
  <c r="G100" i="1150"/>
  <c r="G99" i="1150"/>
  <c r="G98" i="1150"/>
  <c r="G97" i="1150"/>
  <c r="G96" i="1150"/>
  <c r="G95" i="1150"/>
  <c r="G94" i="1150"/>
  <c r="G93" i="1150"/>
  <c r="G92" i="1150"/>
  <c r="G91" i="1150"/>
  <c r="G90" i="1150"/>
  <c r="G89" i="1150"/>
  <c r="G88" i="1150"/>
  <c r="G87" i="1150"/>
  <c r="G86" i="1150"/>
  <c r="G85" i="1150"/>
  <c r="G84" i="1150"/>
  <c r="G83" i="1150"/>
  <c r="G82" i="1150"/>
  <c r="G81" i="1150"/>
  <c r="G80" i="1150"/>
  <c r="G79" i="1150"/>
  <c r="G78" i="1150"/>
  <c r="G77" i="1150"/>
  <c r="G76" i="1150"/>
  <c r="G75" i="1150"/>
  <c r="G74" i="1150"/>
  <c r="G73" i="1150"/>
  <c r="G72" i="1150"/>
  <c r="G71" i="1150"/>
  <c r="G70" i="1150"/>
  <c r="G69" i="1150"/>
  <c r="G68" i="1150"/>
  <c r="G67" i="1150"/>
  <c r="G66" i="1150"/>
  <c r="G65" i="1150"/>
  <c r="G64" i="1150"/>
  <c r="G63" i="1150"/>
  <c r="G62" i="1150"/>
  <c r="G61" i="1150"/>
  <c r="G60" i="1150"/>
  <c r="G59" i="1150"/>
  <c r="G58" i="1150"/>
  <c r="G57" i="1150"/>
  <c r="G56" i="1150"/>
  <c r="G55" i="1150"/>
  <c r="G54" i="1150"/>
  <c r="G53" i="1150"/>
  <c r="G52" i="1150"/>
  <c r="G51" i="1150"/>
  <c r="G50" i="1150"/>
  <c r="G49" i="1150"/>
  <c r="G48" i="1150"/>
  <c r="G47" i="1150"/>
  <c r="G46" i="1150"/>
  <c r="G45" i="1150"/>
  <c r="G44" i="1150"/>
  <c r="G43" i="1150"/>
  <c r="G42" i="1150"/>
  <c r="G41" i="1150"/>
  <c r="G40" i="1150"/>
  <c r="G39" i="1150"/>
  <c r="G38" i="1150"/>
  <c r="G37" i="1150"/>
  <c r="G36" i="1150"/>
  <c r="G35" i="1150"/>
  <c r="G34" i="1150"/>
  <c r="G33" i="1150"/>
  <c r="G32" i="1150"/>
  <c r="G31" i="1150"/>
  <c r="G30" i="1150"/>
  <c r="G29" i="1150"/>
  <c r="G28" i="1150"/>
  <c r="G27" i="1150"/>
  <c r="G26" i="1150"/>
  <c r="G25" i="1150"/>
  <c r="G24" i="1150"/>
  <c r="G23" i="1150"/>
  <c r="G22" i="1150"/>
  <c r="G21" i="1150"/>
  <c r="G20" i="1150"/>
  <c r="G19" i="1150"/>
  <c r="G18" i="1150"/>
  <c r="G17" i="1150"/>
  <c r="G16" i="1150"/>
  <c r="G15" i="1150"/>
  <c r="G14" i="1150"/>
  <c r="G13" i="1150"/>
  <c r="G12" i="1150"/>
  <c r="G11" i="1150"/>
  <c r="G10" i="1150"/>
  <c r="G9" i="1150"/>
  <c r="G8" i="1150"/>
  <c r="G7" i="1150"/>
  <c r="G6" i="1150"/>
  <c r="G5" i="1150"/>
  <c r="G4" i="1150"/>
  <c r="Q23" i="1147"/>
  <c r="Q24" i="1147" s="1"/>
  <c r="Q25" i="1147" s="1"/>
  <c r="Q26" i="1147" s="1"/>
  <c r="Q27" i="1147" s="1"/>
  <c r="Q28" i="1147" s="1"/>
  <c r="Q29" i="1147" s="1"/>
  <c r="Q30" i="1147" s="1"/>
  <c r="Q31" i="1147" s="1"/>
  <c r="Q32" i="1147" s="1"/>
  <c r="Q33" i="1147" s="1"/>
  <c r="Q34" i="1147" s="1"/>
  <c r="Q35" i="1147" s="1"/>
  <c r="Q36" i="1147" s="1"/>
  <c r="Q37" i="1147" s="1"/>
  <c r="Q38" i="1147" s="1"/>
  <c r="Q39" i="1147" s="1"/>
  <c r="Q40" i="1147" s="1"/>
  <c r="Q41" i="1147" s="1"/>
  <c r="Q42" i="1147" s="1"/>
  <c r="Q43" i="1147" s="1"/>
  <c r="Q44" i="1147" s="1"/>
  <c r="Q45" i="1147" s="1"/>
  <c r="Q46" i="1147" s="1"/>
  <c r="Q47" i="1147" s="1"/>
  <c r="Q48" i="1147" s="1"/>
  <c r="Q49" i="1147" s="1"/>
  <c r="Q50" i="1147" s="1"/>
  <c r="Q51" i="1147" s="1"/>
  <c r="Q52" i="1147" s="1"/>
  <c r="Q53" i="1147" s="1"/>
  <c r="Q54" i="1147" s="1"/>
  <c r="Q55" i="1147" s="1"/>
  <c r="Q56" i="1147" s="1"/>
  <c r="Q57" i="1147" s="1"/>
  <c r="Q58" i="1147" s="1"/>
  <c r="Q59" i="1147" s="1"/>
  <c r="Q60" i="1147" s="1"/>
  <c r="Q61" i="1147" s="1"/>
  <c r="Q62" i="1147" s="1"/>
  <c r="Q63" i="1147" s="1"/>
  <c r="Q64" i="1147" s="1"/>
  <c r="Q65" i="1147" s="1"/>
  <c r="Q66" i="1147" s="1"/>
  <c r="Q67" i="1147" s="1"/>
  <c r="Q68" i="1147" s="1"/>
  <c r="Q69" i="1147" s="1"/>
  <c r="Q70" i="1147" s="1"/>
  <c r="Q71" i="1147" s="1"/>
  <c r="Q72" i="1147" s="1"/>
  <c r="Q73" i="1147" s="1"/>
  <c r="Q74" i="1147" s="1"/>
  <c r="Q75" i="1147" s="1"/>
  <c r="Q76" i="1147" s="1"/>
  <c r="Q77" i="1147" s="1"/>
  <c r="Q78" i="1147" s="1"/>
  <c r="Q79" i="1147" s="1"/>
  <c r="Q80" i="1147" s="1"/>
  <c r="Q81" i="1147" s="1"/>
  <c r="Q82" i="1147" s="1"/>
  <c r="Q83" i="1147" s="1"/>
  <c r="Q84" i="1147" s="1"/>
  <c r="Q85" i="1147" s="1"/>
  <c r="Q86" i="1147" s="1"/>
  <c r="Q87" i="1147" s="1"/>
  <c r="Q88" i="1147" s="1"/>
  <c r="Q89" i="1147" s="1"/>
  <c r="Q90" i="1147" s="1"/>
  <c r="Q91" i="1147" s="1"/>
  <c r="Q92" i="1147" s="1"/>
  <c r="Q93" i="1147" s="1"/>
  <c r="Q94" i="1147" s="1"/>
  <c r="Q95" i="1147" s="1"/>
  <c r="Q96" i="1147" s="1"/>
  <c r="Q97" i="1147" s="1"/>
  <c r="Q98" i="1147" s="1"/>
  <c r="Q99" i="1147" s="1"/>
  <c r="Q100" i="1147" s="1"/>
  <c r="Q101" i="1147" s="1"/>
  <c r="Q102" i="1147" s="1"/>
  <c r="Q103" i="1147" s="1"/>
  <c r="Q104" i="1147" s="1"/>
  <c r="Q105" i="1147" s="1"/>
  <c r="Q106" i="1147" s="1"/>
  <c r="Q107" i="1147" s="1"/>
  <c r="Q108" i="1147" s="1"/>
  <c r="Q109" i="1147" s="1"/>
  <c r="Q110" i="1147" s="1"/>
  <c r="Q111" i="1147" s="1"/>
  <c r="Q112" i="1147" s="1"/>
  <c r="Q113" i="1147" s="1"/>
  <c r="Q114" i="1147" s="1"/>
  <c r="Q115" i="1147" s="1"/>
  <c r="Q116" i="1147" s="1"/>
  <c r="Q117" i="1147" s="1"/>
  <c r="Q118" i="1147" s="1"/>
  <c r="Q119" i="1147" s="1"/>
  <c r="Q120" i="1147" s="1"/>
  <c r="Q121" i="1147" s="1"/>
  <c r="Q122" i="1147" s="1"/>
  <c r="Q123" i="1147" s="1"/>
  <c r="Q124" i="1147" s="1"/>
  <c r="Q125" i="1147" s="1"/>
  <c r="Q126" i="1147" s="1"/>
  <c r="Q127" i="1147" s="1"/>
  <c r="U9" i="1147"/>
  <c r="U10" i="1147" s="1"/>
  <c r="U11" i="1147" s="1"/>
  <c r="U12" i="1147" s="1"/>
  <c r="U13" i="1147" s="1"/>
  <c r="U14" i="1147" s="1"/>
  <c r="U15" i="1147" s="1"/>
  <c r="U16" i="1147" s="1"/>
  <c r="U17" i="1147" s="1"/>
  <c r="U18" i="1147" s="1"/>
  <c r="U19" i="1147" s="1"/>
  <c r="U20" i="1147" s="1"/>
  <c r="U21" i="1147" s="1"/>
  <c r="U22" i="1147" s="1"/>
  <c r="U23" i="1147" s="1"/>
  <c r="U24" i="1147" s="1"/>
  <c r="U25" i="1147" s="1"/>
  <c r="U26" i="1147" s="1"/>
  <c r="U27" i="1147" s="1"/>
  <c r="U28" i="1147" s="1"/>
  <c r="U29" i="1147" s="1"/>
  <c r="U30" i="1147" s="1"/>
  <c r="U31" i="1147" s="1"/>
  <c r="U32" i="1147" s="1"/>
  <c r="U33" i="1147" s="1"/>
  <c r="U34" i="1147" s="1"/>
  <c r="U35" i="1147" s="1"/>
  <c r="U36" i="1147" s="1"/>
  <c r="U37" i="1147" s="1"/>
  <c r="U38" i="1147" s="1"/>
  <c r="U39" i="1147" s="1"/>
  <c r="U40" i="1147" s="1"/>
  <c r="U41" i="1147" s="1"/>
  <c r="U42" i="1147" s="1"/>
  <c r="U43" i="1147" s="1"/>
  <c r="U44" i="1147" s="1"/>
  <c r="U45" i="1147" s="1"/>
  <c r="U46" i="1147" s="1"/>
  <c r="U47" i="1147" s="1"/>
  <c r="U48" i="1147" s="1"/>
  <c r="U49" i="1147" s="1"/>
  <c r="U50" i="1147" s="1"/>
  <c r="U51" i="1147" s="1"/>
  <c r="U52" i="1147" s="1"/>
  <c r="U53" i="1147" s="1"/>
  <c r="U54" i="1147" s="1"/>
  <c r="U55" i="1147" s="1"/>
  <c r="U56" i="1147" s="1"/>
  <c r="U57" i="1147" s="1"/>
  <c r="U58" i="1147" s="1"/>
  <c r="U59" i="1147" s="1"/>
  <c r="U60" i="1147" s="1"/>
  <c r="U61" i="1147" s="1"/>
  <c r="U62" i="1147" s="1"/>
  <c r="U63" i="1147" s="1"/>
  <c r="U64" i="1147" s="1"/>
  <c r="U65" i="1147" s="1"/>
  <c r="U66" i="1147" s="1"/>
  <c r="U67" i="1147" s="1"/>
  <c r="U68" i="1147" s="1"/>
  <c r="U69" i="1147" s="1"/>
  <c r="U70" i="1147" s="1"/>
  <c r="U71" i="1147" s="1"/>
  <c r="U72" i="1147" s="1"/>
  <c r="U73" i="1147" s="1"/>
  <c r="U74" i="1147" s="1"/>
  <c r="U75" i="1147" s="1"/>
  <c r="U76" i="1147" s="1"/>
  <c r="U77" i="1147" s="1"/>
  <c r="U78" i="1147" s="1"/>
  <c r="U79" i="1147" s="1"/>
  <c r="U80" i="1147" s="1"/>
  <c r="U81" i="1147" s="1"/>
  <c r="U82" i="1147" s="1"/>
  <c r="U83" i="1147" s="1"/>
  <c r="U84" i="1147" s="1"/>
  <c r="U85" i="1147" s="1"/>
  <c r="U86" i="1147" s="1"/>
  <c r="U87" i="1147" s="1"/>
  <c r="U88" i="1147" s="1"/>
  <c r="U89" i="1147" s="1"/>
  <c r="U90" i="1147" s="1"/>
  <c r="U91" i="1147" s="1"/>
  <c r="U92" i="1147" s="1"/>
  <c r="U93" i="1147" s="1"/>
  <c r="U94" i="1147" s="1"/>
  <c r="U95" i="1147" s="1"/>
  <c r="U96" i="1147" s="1"/>
  <c r="U97" i="1147" s="1"/>
  <c r="U98" i="1147" s="1"/>
  <c r="U99" i="1147" s="1"/>
  <c r="U100" i="1147" s="1"/>
  <c r="U101" i="1147" s="1"/>
  <c r="U102" i="1147" s="1"/>
  <c r="U103" i="1147" s="1"/>
  <c r="U104" i="1147" s="1"/>
  <c r="U105" i="1147" s="1"/>
  <c r="U106" i="1147" s="1"/>
  <c r="U107" i="1147" s="1"/>
  <c r="U108" i="1147" s="1"/>
  <c r="U109" i="1147" s="1"/>
  <c r="U110" i="1147" s="1"/>
  <c r="U111" i="1147" s="1"/>
  <c r="U112" i="1147" s="1"/>
  <c r="U113" i="1147" s="1"/>
  <c r="U114" i="1147" s="1"/>
  <c r="U115" i="1147" s="1"/>
  <c r="U116" i="1147" s="1"/>
  <c r="U117" i="1147" s="1"/>
  <c r="U118" i="1147" s="1"/>
  <c r="U119" i="1147" s="1"/>
  <c r="U120" i="1147" s="1"/>
  <c r="U121" i="1147" s="1"/>
  <c r="U122" i="1147" s="1"/>
  <c r="U123" i="1147" s="1"/>
  <c r="U124" i="1147" s="1"/>
  <c r="U125" i="1147" s="1"/>
  <c r="U126" i="1147" s="1"/>
  <c r="U127" i="1147" s="1"/>
  <c r="T9" i="1147"/>
  <c r="T10" i="1147" s="1"/>
  <c r="T11" i="1147" s="1"/>
  <c r="T12" i="1147" s="1"/>
  <c r="T13" i="1147" s="1"/>
  <c r="T14" i="1147" s="1"/>
  <c r="T15" i="1147" s="1"/>
  <c r="T16" i="1147" s="1"/>
  <c r="T17" i="1147" s="1"/>
  <c r="T18" i="1147" s="1"/>
  <c r="T19" i="1147" s="1"/>
  <c r="T20" i="1147" s="1"/>
  <c r="T21" i="1147" s="1"/>
  <c r="T22" i="1147" s="1"/>
  <c r="T23" i="1147" s="1"/>
  <c r="T24" i="1147" s="1"/>
  <c r="T25" i="1147" s="1"/>
  <c r="T26" i="1147" s="1"/>
  <c r="T27" i="1147" s="1"/>
  <c r="T28" i="1147" s="1"/>
  <c r="T29" i="1147" s="1"/>
  <c r="T30" i="1147" s="1"/>
  <c r="T31" i="1147" s="1"/>
  <c r="T32" i="1147" s="1"/>
  <c r="T33" i="1147" s="1"/>
  <c r="T34" i="1147" s="1"/>
  <c r="T35" i="1147" s="1"/>
  <c r="T36" i="1147" s="1"/>
  <c r="T37" i="1147" s="1"/>
  <c r="T38" i="1147" s="1"/>
  <c r="T39" i="1147" s="1"/>
  <c r="T40" i="1147" s="1"/>
  <c r="T41" i="1147" s="1"/>
  <c r="T42" i="1147" s="1"/>
  <c r="T43" i="1147" s="1"/>
  <c r="T44" i="1147" s="1"/>
  <c r="T45" i="1147" s="1"/>
  <c r="T46" i="1147" s="1"/>
  <c r="T47" i="1147" s="1"/>
  <c r="T48" i="1147" s="1"/>
  <c r="T49" i="1147" s="1"/>
  <c r="T50" i="1147" s="1"/>
  <c r="T51" i="1147" s="1"/>
  <c r="T52" i="1147" s="1"/>
  <c r="T53" i="1147" s="1"/>
  <c r="T54" i="1147" s="1"/>
  <c r="T55" i="1147" s="1"/>
  <c r="T56" i="1147" s="1"/>
  <c r="T57" i="1147" s="1"/>
  <c r="T58" i="1147" s="1"/>
  <c r="T59" i="1147" s="1"/>
  <c r="T60" i="1147" s="1"/>
  <c r="T61" i="1147" s="1"/>
  <c r="T62" i="1147" s="1"/>
  <c r="T63" i="1147" s="1"/>
  <c r="T64" i="1147" s="1"/>
  <c r="T65" i="1147" s="1"/>
  <c r="T66" i="1147" s="1"/>
  <c r="T67" i="1147" s="1"/>
  <c r="T68" i="1147" s="1"/>
  <c r="T69" i="1147" s="1"/>
  <c r="T70" i="1147" s="1"/>
  <c r="T71" i="1147" s="1"/>
  <c r="T72" i="1147" s="1"/>
  <c r="T73" i="1147" s="1"/>
  <c r="T74" i="1147" s="1"/>
  <c r="T75" i="1147" s="1"/>
  <c r="T76" i="1147" s="1"/>
  <c r="T77" i="1147" s="1"/>
  <c r="T78" i="1147" s="1"/>
  <c r="T79" i="1147" s="1"/>
  <c r="T80" i="1147" s="1"/>
  <c r="T81" i="1147" s="1"/>
  <c r="T82" i="1147" s="1"/>
  <c r="T83" i="1147" s="1"/>
  <c r="T84" i="1147" s="1"/>
  <c r="T85" i="1147" s="1"/>
  <c r="T86" i="1147" s="1"/>
  <c r="T87" i="1147" s="1"/>
  <c r="T88" i="1147" s="1"/>
  <c r="T89" i="1147" s="1"/>
  <c r="T90" i="1147" s="1"/>
  <c r="T91" i="1147" s="1"/>
  <c r="T92" i="1147" s="1"/>
  <c r="T93" i="1147" s="1"/>
  <c r="T94" i="1147" s="1"/>
  <c r="T95" i="1147" s="1"/>
  <c r="T96" i="1147" s="1"/>
  <c r="T97" i="1147" s="1"/>
  <c r="T98" i="1147" s="1"/>
  <c r="T99" i="1147" s="1"/>
  <c r="T100" i="1147" s="1"/>
  <c r="T101" i="1147" s="1"/>
  <c r="T102" i="1147" s="1"/>
  <c r="T103" i="1147" s="1"/>
  <c r="T104" i="1147" s="1"/>
  <c r="T105" i="1147" s="1"/>
  <c r="T106" i="1147" s="1"/>
  <c r="T107" i="1147" s="1"/>
  <c r="T108" i="1147" s="1"/>
  <c r="T109" i="1147" s="1"/>
  <c r="T110" i="1147" s="1"/>
  <c r="T111" i="1147" s="1"/>
  <c r="T112" i="1147" s="1"/>
  <c r="T113" i="1147" s="1"/>
  <c r="T114" i="1147" s="1"/>
  <c r="T115" i="1147" s="1"/>
  <c r="T116" i="1147" s="1"/>
  <c r="T117" i="1147" s="1"/>
  <c r="T118" i="1147" s="1"/>
  <c r="T119" i="1147" s="1"/>
  <c r="T120" i="1147" s="1"/>
  <c r="T121" i="1147" s="1"/>
  <c r="T122" i="1147" s="1"/>
  <c r="T123" i="1147" s="1"/>
  <c r="T124" i="1147" s="1"/>
  <c r="T125" i="1147" s="1"/>
  <c r="T126" i="1147" s="1"/>
  <c r="T127" i="1147" s="1"/>
  <c r="S9" i="1147"/>
  <c r="S10" i="1147" s="1"/>
  <c r="S11" i="1147" s="1"/>
  <c r="S12" i="1147" s="1"/>
  <c r="S13" i="1147" s="1"/>
  <c r="S14" i="1147" s="1"/>
  <c r="S15" i="1147" s="1"/>
  <c r="S16" i="1147" s="1"/>
  <c r="S17" i="1147" s="1"/>
  <c r="S18" i="1147" s="1"/>
  <c r="S19" i="1147" s="1"/>
  <c r="S20" i="1147" s="1"/>
  <c r="S21" i="1147" s="1"/>
  <c r="S22" i="1147" s="1"/>
  <c r="S23" i="1147" s="1"/>
  <c r="S24" i="1147" s="1"/>
  <c r="S25" i="1147" s="1"/>
  <c r="S26" i="1147" s="1"/>
  <c r="S27" i="1147" s="1"/>
  <c r="S28" i="1147" s="1"/>
  <c r="S29" i="1147" s="1"/>
  <c r="S30" i="1147" s="1"/>
  <c r="S31" i="1147" s="1"/>
  <c r="S32" i="1147" s="1"/>
  <c r="S33" i="1147" s="1"/>
  <c r="S34" i="1147" s="1"/>
  <c r="S35" i="1147" s="1"/>
  <c r="S36" i="1147" s="1"/>
  <c r="S37" i="1147" s="1"/>
  <c r="S38" i="1147" s="1"/>
  <c r="S39" i="1147" s="1"/>
  <c r="S40" i="1147" s="1"/>
  <c r="S41" i="1147" s="1"/>
  <c r="S42" i="1147" s="1"/>
  <c r="S43" i="1147" s="1"/>
  <c r="S44" i="1147" s="1"/>
  <c r="S45" i="1147" s="1"/>
  <c r="S46" i="1147" s="1"/>
  <c r="S47" i="1147" s="1"/>
  <c r="S48" i="1147" s="1"/>
  <c r="S49" i="1147" s="1"/>
  <c r="S50" i="1147" s="1"/>
  <c r="S51" i="1147" s="1"/>
  <c r="S52" i="1147" s="1"/>
  <c r="S53" i="1147" s="1"/>
  <c r="S54" i="1147" s="1"/>
  <c r="S55" i="1147" s="1"/>
  <c r="S56" i="1147" s="1"/>
  <c r="S57" i="1147" s="1"/>
  <c r="S58" i="1147" s="1"/>
  <c r="S59" i="1147" s="1"/>
  <c r="S60" i="1147" s="1"/>
  <c r="S61" i="1147" s="1"/>
  <c r="S62" i="1147" s="1"/>
  <c r="S63" i="1147" s="1"/>
  <c r="S64" i="1147" s="1"/>
  <c r="S65" i="1147" s="1"/>
  <c r="S66" i="1147" s="1"/>
  <c r="S67" i="1147" s="1"/>
  <c r="S68" i="1147" s="1"/>
  <c r="S69" i="1147" s="1"/>
  <c r="S70" i="1147" s="1"/>
  <c r="S71" i="1147" s="1"/>
  <c r="S72" i="1147" s="1"/>
  <c r="S73" i="1147" s="1"/>
  <c r="S74" i="1147" s="1"/>
  <c r="S75" i="1147" s="1"/>
  <c r="S76" i="1147" s="1"/>
  <c r="S77" i="1147" s="1"/>
  <c r="S78" i="1147" s="1"/>
  <c r="S79" i="1147" s="1"/>
  <c r="S80" i="1147" s="1"/>
  <c r="S81" i="1147" s="1"/>
  <c r="S82" i="1147" s="1"/>
  <c r="S83" i="1147" s="1"/>
  <c r="S84" i="1147" s="1"/>
  <c r="S85" i="1147" s="1"/>
  <c r="S86" i="1147" s="1"/>
  <c r="S87" i="1147" s="1"/>
  <c r="S88" i="1147" s="1"/>
  <c r="S89" i="1147" s="1"/>
  <c r="S90" i="1147" s="1"/>
  <c r="S91" i="1147" s="1"/>
  <c r="S92" i="1147" s="1"/>
  <c r="S93" i="1147" s="1"/>
  <c r="S94" i="1147" s="1"/>
  <c r="S95" i="1147" s="1"/>
  <c r="S96" i="1147" s="1"/>
  <c r="S97" i="1147" s="1"/>
  <c r="S98" i="1147" s="1"/>
  <c r="S99" i="1147" s="1"/>
  <c r="S100" i="1147" s="1"/>
  <c r="S101" i="1147" s="1"/>
  <c r="S102" i="1147" s="1"/>
  <c r="S103" i="1147" s="1"/>
  <c r="S104" i="1147" s="1"/>
  <c r="S105" i="1147" s="1"/>
  <c r="S106" i="1147" s="1"/>
  <c r="S107" i="1147" s="1"/>
  <c r="S108" i="1147" s="1"/>
  <c r="S109" i="1147" s="1"/>
  <c r="S110" i="1147" s="1"/>
  <c r="S111" i="1147" s="1"/>
  <c r="S112" i="1147" s="1"/>
  <c r="S113" i="1147" s="1"/>
  <c r="S114" i="1147" s="1"/>
  <c r="S115" i="1147" s="1"/>
  <c r="S116" i="1147" s="1"/>
  <c r="S117" i="1147" s="1"/>
  <c r="S118" i="1147" s="1"/>
  <c r="S119" i="1147" s="1"/>
  <c r="S120" i="1147" s="1"/>
  <c r="S121" i="1147" s="1"/>
  <c r="S122" i="1147" s="1"/>
  <c r="S123" i="1147" s="1"/>
  <c r="S124" i="1147" s="1"/>
  <c r="S125" i="1147" s="1"/>
  <c r="S126" i="1147" s="1"/>
  <c r="S127" i="1147" s="1"/>
  <c r="R9" i="1147"/>
  <c r="R10" i="1147" s="1"/>
  <c r="R11" i="1147" s="1"/>
  <c r="R12" i="1147" s="1"/>
  <c r="R13" i="1147" s="1"/>
  <c r="R14" i="1147" s="1"/>
  <c r="R15" i="1147" s="1"/>
  <c r="R16" i="1147" s="1"/>
  <c r="R17" i="1147" s="1"/>
  <c r="R18" i="1147" s="1"/>
  <c r="R19" i="1147" s="1"/>
  <c r="R20" i="1147" s="1"/>
  <c r="R21" i="1147" s="1"/>
  <c r="R22" i="1147" s="1"/>
  <c r="R23" i="1147" s="1"/>
  <c r="R24" i="1147" s="1"/>
  <c r="R25" i="1147" s="1"/>
  <c r="R26" i="1147" s="1"/>
  <c r="R27" i="1147" s="1"/>
  <c r="R28" i="1147" s="1"/>
  <c r="R29" i="1147" s="1"/>
  <c r="R30" i="1147" s="1"/>
  <c r="R31" i="1147" s="1"/>
  <c r="R32" i="1147" s="1"/>
  <c r="R33" i="1147" s="1"/>
  <c r="R34" i="1147" s="1"/>
  <c r="R35" i="1147" s="1"/>
  <c r="R36" i="1147" s="1"/>
  <c r="R37" i="1147" s="1"/>
  <c r="R38" i="1147" s="1"/>
  <c r="R39" i="1147" s="1"/>
  <c r="R40" i="1147" s="1"/>
  <c r="R41" i="1147" s="1"/>
  <c r="R42" i="1147" s="1"/>
  <c r="R43" i="1147" s="1"/>
  <c r="R44" i="1147" s="1"/>
  <c r="R45" i="1147" s="1"/>
  <c r="R46" i="1147" s="1"/>
  <c r="R47" i="1147" s="1"/>
  <c r="R48" i="1147" s="1"/>
  <c r="R49" i="1147" s="1"/>
  <c r="R50" i="1147" s="1"/>
  <c r="R51" i="1147" s="1"/>
  <c r="R52" i="1147" s="1"/>
  <c r="R53" i="1147" s="1"/>
  <c r="R54" i="1147" s="1"/>
  <c r="R55" i="1147" s="1"/>
  <c r="R56" i="1147" s="1"/>
  <c r="R57" i="1147" s="1"/>
  <c r="R58" i="1147" s="1"/>
  <c r="R59" i="1147" s="1"/>
  <c r="R60" i="1147" s="1"/>
  <c r="R61" i="1147" s="1"/>
  <c r="R62" i="1147" s="1"/>
  <c r="R63" i="1147" s="1"/>
  <c r="R64" i="1147" s="1"/>
  <c r="R65" i="1147" s="1"/>
  <c r="R66" i="1147" s="1"/>
  <c r="R67" i="1147" s="1"/>
  <c r="R68" i="1147" s="1"/>
  <c r="R69" i="1147" s="1"/>
  <c r="R70" i="1147" s="1"/>
  <c r="R71" i="1147" s="1"/>
  <c r="R72" i="1147" s="1"/>
  <c r="R73" i="1147" s="1"/>
  <c r="R74" i="1147" s="1"/>
  <c r="R75" i="1147" s="1"/>
  <c r="R76" i="1147" s="1"/>
  <c r="R77" i="1147" s="1"/>
  <c r="R78" i="1147" s="1"/>
  <c r="R79" i="1147" s="1"/>
  <c r="R80" i="1147" s="1"/>
  <c r="R81" i="1147" s="1"/>
  <c r="R82" i="1147" s="1"/>
  <c r="R83" i="1147" s="1"/>
  <c r="R84" i="1147" s="1"/>
  <c r="R85" i="1147" s="1"/>
  <c r="R86" i="1147" s="1"/>
  <c r="R87" i="1147" s="1"/>
  <c r="R88" i="1147" s="1"/>
  <c r="R89" i="1147" s="1"/>
  <c r="R90" i="1147" s="1"/>
  <c r="R91" i="1147" s="1"/>
  <c r="R92" i="1147" s="1"/>
  <c r="R93" i="1147" s="1"/>
  <c r="R94" i="1147" s="1"/>
  <c r="R95" i="1147" s="1"/>
  <c r="R96" i="1147" s="1"/>
  <c r="R97" i="1147" s="1"/>
  <c r="R98" i="1147" s="1"/>
  <c r="R99" i="1147" s="1"/>
  <c r="R100" i="1147" s="1"/>
  <c r="R101" i="1147" s="1"/>
  <c r="R102" i="1147" s="1"/>
  <c r="R103" i="1147" s="1"/>
  <c r="R104" i="1147" s="1"/>
  <c r="R105" i="1147" s="1"/>
  <c r="R106" i="1147" s="1"/>
  <c r="R107" i="1147" s="1"/>
  <c r="R108" i="1147" s="1"/>
  <c r="R109" i="1147" s="1"/>
  <c r="R110" i="1147" s="1"/>
  <c r="R111" i="1147" s="1"/>
  <c r="R112" i="1147" s="1"/>
  <c r="R113" i="1147" s="1"/>
  <c r="R114" i="1147" s="1"/>
  <c r="R115" i="1147" s="1"/>
  <c r="R116" i="1147" s="1"/>
  <c r="R117" i="1147" s="1"/>
  <c r="R118" i="1147" s="1"/>
  <c r="R119" i="1147" s="1"/>
  <c r="R120" i="1147" s="1"/>
  <c r="R121" i="1147" s="1"/>
  <c r="R122" i="1147" s="1"/>
  <c r="R123" i="1147" s="1"/>
  <c r="R124" i="1147" s="1"/>
  <c r="R125" i="1147" s="1"/>
  <c r="R126" i="1147" s="1"/>
  <c r="R127" i="1147" s="1"/>
  <c r="Q9" i="1147"/>
  <c r="Q10" i="1147" s="1"/>
  <c r="Q11" i="1147" s="1"/>
  <c r="Q12" i="1147" s="1"/>
  <c r="Q13" i="1147" s="1"/>
  <c r="Q14" i="1147" s="1"/>
  <c r="Q15" i="1147" s="1"/>
  <c r="Q16" i="1147" s="1"/>
  <c r="Q17" i="1147" s="1"/>
  <c r="Q18" i="1147" s="1"/>
  <c r="Q19" i="1147" s="1"/>
  <c r="Q20" i="1147" s="1"/>
  <c r="Q21" i="1147" s="1"/>
  <c r="Q22" i="1147" s="1"/>
  <c r="P9" i="1147"/>
  <c r="P10" i="1147" s="1"/>
  <c r="P11" i="1147" s="1"/>
  <c r="P12" i="1147" s="1"/>
  <c r="P13" i="1147" s="1"/>
  <c r="P14" i="1147" s="1"/>
  <c r="P15" i="1147" s="1"/>
  <c r="P16" i="1147" s="1"/>
  <c r="P17" i="1147" s="1"/>
  <c r="P18" i="1147" s="1"/>
  <c r="P19" i="1147" s="1"/>
  <c r="P20" i="1147" s="1"/>
  <c r="P21" i="1147" s="1"/>
  <c r="P22" i="1147" s="1"/>
  <c r="P23" i="1147" s="1"/>
  <c r="P24" i="1147" s="1"/>
  <c r="P25" i="1147" s="1"/>
  <c r="P26" i="1147" s="1"/>
  <c r="P27" i="1147" s="1"/>
  <c r="P28" i="1147" s="1"/>
  <c r="P29" i="1147" s="1"/>
  <c r="P30" i="1147" s="1"/>
  <c r="P31" i="1147" s="1"/>
  <c r="P32" i="1147" s="1"/>
  <c r="P33" i="1147" s="1"/>
  <c r="P34" i="1147" s="1"/>
  <c r="P35" i="1147" s="1"/>
  <c r="P36" i="1147" s="1"/>
  <c r="P37" i="1147" s="1"/>
  <c r="P38" i="1147" s="1"/>
  <c r="P39" i="1147" s="1"/>
  <c r="P40" i="1147" s="1"/>
  <c r="P41" i="1147" s="1"/>
  <c r="P42" i="1147" s="1"/>
  <c r="P43" i="1147" s="1"/>
  <c r="P44" i="1147" s="1"/>
  <c r="P45" i="1147" s="1"/>
  <c r="P46" i="1147" s="1"/>
  <c r="P47" i="1147" s="1"/>
  <c r="P48" i="1147" s="1"/>
  <c r="P49" i="1147" s="1"/>
  <c r="P50" i="1147" s="1"/>
  <c r="P51" i="1147" s="1"/>
  <c r="P52" i="1147" s="1"/>
  <c r="P53" i="1147" s="1"/>
  <c r="P54" i="1147" s="1"/>
  <c r="P55" i="1147" s="1"/>
  <c r="P56" i="1147" s="1"/>
  <c r="P57" i="1147" s="1"/>
  <c r="P58" i="1147" s="1"/>
  <c r="P59" i="1147" s="1"/>
  <c r="P60" i="1147" s="1"/>
  <c r="P61" i="1147" s="1"/>
  <c r="P62" i="1147" s="1"/>
  <c r="P63" i="1147" s="1"/>
  <c r="P64" i="1147" s="1"/>
  <c r="P65" i="1147" s="1"/>
  <c r="P66" i="1147" s="1"/>
  <c r="P67" i="1147" s="1"/>
  <c r="P68" i="1147" s="1"/>
  <c r="P69" i="1147" s="1"/>
  <c r="P70" i="1147" s="1"/>
  <c r="P71" i="1147" s="1"/>
  <c r="P72" i="1147" s="1"/>
  <c r="P73" i="1147" s="1"/>
  <c r="P74" i="1147" s="1"/>
  <c r="P75" i="1147" s="1"/>
  <c r="P76" i="1147" s="1"/>
  <c r="P77" i="1147" s="1"/>
  <c r="P78" i="1147" s="1"/>
  <c r="P79" i="1147" s="1"/>
  <c r="P80" i="1147" s="1"/>
  <c r="P81" i="1147" s="1"/>
  <c r="P82" i="1147" s="1"/>
  <c r="P83" i="1147" s="1"/>
  <c r="P84" i="1147" s="1"/>
  <c r="P85" i="1147" s="1"/>
  <c r="P86" i="1147" s="1"/>
  <c r="P87" i="1147" s="1"/>
  <c r="P88" i="1147" s="1"/>
  <c r="P89" i="1147" s="1"/>
  <c r="P90" i="1147" s="1"/>
  <c r="P91" i="1147" s="1"/>
  <c r="P92" i="1147" s="1"/>
  <c r="P93" i="1147" s="1"/>
  <c r="P94" i="1147" s="1"/>
  <c r="P95" i="1147" s="1"/>
  <c r="P96" i="1147" s="1"/>
  <c r="P97" i="1147" s="1"/>
  <c r="P98" i="1147" s="1"/>
  <c r="P99" i="1147" s="1"/>
  <c r="P100" i="1147" s="1"/>
  <c r="P101" i="1147" s="1"/>
  <c r="P102" i="1147" s="1"/>
  <c r="P103" i="1147" s="1"/>
  <c r="P104" i="1147" s="1"/>
  <c r="P105" i="1147" s="1"/>
  <c r="P106" i="1147" s="1"/>
  <c r="P107" i="1147" s="1"/>
  <c r="P108" i="1147" s="1"/>
  <c r="P109" i="1147" s="1"/>
  <c r="P110" i="1147" s="1"/>
  <c r="P111" i="1147" s="1"/>
  <c r="P112" i="1147" s="1"/>
  <c r="P113" i="1147" s="1"/>
  <c r="P114" i="1147" s="1"/>
  <c r="P115" i="1147" s="1"/>
  <c r="P116" i="1147" s="1"/>
  <c r="P117" i="1147" s="1"/>
  <c r="P118" i="1147" s="1"/>
  <c r="P119" i="1147" s="1"/>
  <c r="P120" i="1147" s="1"/>
  <c r="P121" i="1147" s="1"/>
  <c r="P122" i="1147" s="1"/>
  <c r="P123" i="1147" s="1"/>
  <c r="P124" i="1147" s="1"/>
  <c r="P125" i="1147" s="1"/>
  <c r="P126" i="1147" s="1"/>
  <c r="P127" i="1147" s="1"/>
  <c r="W8" i="1147"/>
  <c r="W9" i="1147" s="1"/>
  <c r="W10" i="1147" s="1"/>
  <c r="W11" i="1147" s="1"/>
  <c r="W12" i="1147" s="1"/>
  <c r="W13" i="1147" s="1"/>
  <c r="W14" i="1147" s="1"/>
  <c r="W15" i="1147" s="1"/>
  <c r="W16" i="1147" s="1"/>
  <c r="W17" i="1147" s="1"/>
  <c r="W18" i="1147" s="1"/>
  <c r="W19" i="1147" s="1"/>
  <c r="W20" i="1147" s="1"/>
  <c r="W21" i="1147" s="1"/>
  <c r="W22" i="1147" s="1"/>
  <c r="W23" i="1147" s="1"/>
  <c r="W24" i="1147" s="1"/>
  <c r="W25" i="1147" s="1"/>
  <c r="W26" i="1147" s="1"/>
  <c r="W27" i="1147" s="1"/>
  <c r="W28" i="1147" s="1"/>
  <c r="W29" i="1147" s="1"/>
  <c r="W30" i="1147" s="1"/>
  <c r="W31" i="1147" s="1"/>
  <c r="W32" i="1147" s="1"/>
  <c r="W33" i="1147" s="1"/>
  <c r="W34" i="1147" s="1"/>
  <c r="W35" i="1147" s="1"/>
  <c r="W36" i="1147" s="1"/>
  <c r="W37" i="1147" s="1"/>
  <c r="W38" i="1147" s="1"/>
  <c r="W39" i="1147" s="1"/>
  <c r="W40" i="1147" s="1"/>
  <c r="W41" i="1147" s="1"/>
  <c r="W42" i="1147" s="1"/>
  <c r="W43" i="1147" s="1"/>
  <c r="W44" i="1147" s="1"/>
  <c r="W45" i="1147" s="1"/>
  <c r="W46" i="1147" s="1"/>
  <c r="W47" i="1147" s="1"/>
  <c r="W48" i="1147" s="1"/>
  <c r="W49" i="1147" s="1"/>
  <c r="W50" i="1147" s="1"/>
  <c r="W51" i="1147" s="1"/>
  <c r="W52" i="1147" s="1"/>
  <c r="W53" i="1147" s="1"/>
  <c r="W54" i="1147" s="1"/>
  <c r="W55" i="1147" s="1"/>
  <c r="W56" i="1147" s="1"/>
  <c r="W57" i="1147" s="1"/>
  <c r="W58" i="1147" s="1"/>
  <c r="W59" i="1147" s="1"/>
  <c r="W60" i="1147" s="1"/>
  <c r="W61" i="1147" s="1"/>
  <c r="W62" i="1147" s="1"/>
  <c r="W63" i="1147" s="1"/>
  <c r="W64" i="1147" s="1"/>
  <c r="W65" i="1147" s="1"/>
  <c r="W66" i="1147" s="1"/>
  <c r="W67" i="1147" s="1"/>
  <c r="W68" i="1147" s="1"/>
  <c r="W69" i="1147" s="1"/>
  <c r="W70" i="1147" s="1"/>
  <c r="W71" i="1147" s="1"/>
  <c r="W72" i="1147" s="1"/>
  <c r="W73" i="1147" s="1"/>
  <c r="W74" i="1147" s="1"/>
  <c r="W75" i="1147" s="1"/>
  <c r="W76" i="1147" s="1"/>
  <c r="W77" i="1147" s="1"/>
  <c r="W78" i="1147" s="1"/>
  <c r="W79" i="1147" s="1"/>
  <c r="W80" i="1147" s="1"/>
  <c r="W81" i="1147" s="1"/>
  <c r="W82" i="1147" s="1"/>
  <c r="W83" i="1147" s="1"/>
  <c r="W84" i="1147" s="1"/>
  <c r="W85" i="1147" s="1"/>
  <c r="W86" i="1147" s="1"/>
  <c r="W87" i="1147" s="1"/>
  <c r="W88" i="1147" s="1"/>
  <c r="W89" i="1147" s="1"/>
  <c r="W90" i="1147" s="1"/>
  <c r="W91" i="1147" s="1"/>
  <c r="W92" i="1147" s="1"/>
  <c r="W93" i="1147" s="1"/>
  <c r="W94" i="1147" s="1"/>
  <c r="W95" i="1147" s="1"/>
  <c r="W96" i="1147" s="1"/>
  <c r="W97" i="1147" s="1"/>
  <c r="W98" i="1147" s="1"/>
  <c r="W99" i="1147" s="1"/>
  <c r="W100" i="1147" s="1"/>
  <c r="W101" i="1147" s="1"/>
  <c r="W102" i="1147" s="1"/>
  <c r="W103" i="1147" s="1"/>
  <c r="W104" i="1147" s="1"/>
  <c r="W105" i="1147" s="1"/>
  <c r="W106" i="1147" s="1"/>
  <c r="W107" i="1147" s="1"/>
  <c r="W108" i="1147" s="1"/>
  <c r="W109" i="1147" s="1"/>
  <c r="W110" i="1147" s="1"/>
  <c r="W111" i="1147" s="1"/>
  <c r="W112" i="1147" s="1"/>
  <c r="W113" i="1147" s="1"/>
  <c r="W114" i="1147" s="1"/>
  <c r="W115" i="1147" s="1"/>
  <c r="W116" i="1147" s="1"/>
  <c r="W117" i="1147" s="1"/>
  <c r="W118" i="1147" s="1"/>
  <c r="W119" i="1147" s="1"/>
  <c r="W120" i="1147" s="1"/>
  <c r="W121" i="1147" s="1"/>
  <c r="W122" i="1147" s="1"/>
  <c r="W123" i="1147" s="1"/>
  <c r="W124" i="1147" s="1"/>
  <c r="W125" i="1147" s="1"/>
  <c r="W126" i="1147" s="1"/>
  <c r="W127" i="1147" s="1"/>
  <c r="V8" i="1147"/>
  <c r="V9" i="1147" s="1"/>
  <c r="V10" i="1147" s="1"/>
  <c r="V11" i="1147" s="1"/>
  <c r="V12" i="1147" s="1"/>
  <c r="V13" i="1147" s="1"/>
  <c r="V14" i="1147" s="1"/>
  <c r="V15" i="1147" s="1"/>
  <c r="V16" i="1147" s="1"/>
  <c r="V17" i="1147" s="1"/>
  <c r="V18" i="1147" s="1"/>
  <c r="V19" i="1147" s="1"/>
  <c r="V20" i="1147" s="1"/>
  <c r="V21" i="1147" s="1"/>
  <c r="V22" i="1147" s="1"/>
  <c r="V23" i="1147" s="1"/>
  <c r="V24" i="1147" s="1"/>
  <c r="V25" i="1147" s="1"/>
  <c r="V26" i="1147" s="1"/>
  <c r="V27" i="1147" s="1"/>
  <c r="V28" i="1147" s="1"/>
  <c r="V29" i="1147" s="1"/>
  <c r="V30" i="1147" s="1"/>
  <c r="V31" i="1147" s="1"/>
  <c r="V32" i="1147" s="1"/>
  <c r="V33" i="1147" s="1"/>
  <c r="V34" i="1147" s="1"/>
  <c r="V35" i="1147" s="1"/>
  <c r="V36" i="1147" s="1"/>
  <c r="V37" i="1147" s="1"/>
  <c r="V38" i="1147" s="1"/>
  <c r="V39" i="1147" s="1"/>
  <c r="V40" i="1147" s="1"/>
  <c r="V41" i="1147" s="1"/>
  <c r="V42" i="1147" s="1"/>
  <c r="V43" i="1147" s="1"/>
  <c r="V44" i="1147" s="1"/>
  <c r="V45" i="1147" s="1"/>
  <c r="V46" i="1147" s="1"/>
  <c r="V47" i="1147" s="1"/>
  <c r="V48" i="1147" s="1"/>
  <c r="V49" i="1147" s="1"/>
  <c r="V50" i="1147" s="1"/>
  <c r="V51" i="1147" s="1"/>
  <c r="V52" i="1147" s="1"/>
  <c r="V53" i="1147" s="1"/>
  <c r="V54" i="1147" s="1"/>
  <c r="V55" i="1147" s="1"/>
  <c r="V56" i="1147" s="1"/>
  <c r="V57" i="1147" s="1"/>
  <c r="V58" i="1147" s="1"/>
  <c r="V59" i="1147" s="1"/>
  <c r="V60" i="1147" s="1"/>
  <c r="V61" i="1147" s="1"/>
  <c r="V62" i="1147" s="1"/>
  <c r="V63" i="1147" s="1"/>
  <c r="V64" i="1147" s="1"/>
  <c r="V65" i="1147" s="1"/>
  <c r="V66" i="1147" s="1"/>
  <c r="V67" i="1147" s="1"/>
  <c r="V68" i="1147" s="1"/>
  <c r="V69" i="1147" s="1"/>
  <c r="V70" i="1147" s="1"/>
  <c r="V71" i="1147" s="1"/>
  <c r="V72" i="1147" s="1"/>
  <c r="V73" i="1147" s="1"/>
  <c r="V74" i="1147" s="1"/>
  <c r="V75" i="1147" s="1"/>
  <c r="V76" i="1147" s="1"/>
  <c r="V77" i="1147" s="1"/>
  <c r="V78" i="1147" s="1"/>
  <c r="V79" i="1147" s="1"/>
  <c r="V80" i="1147" s="1"/>
  <c r="V81" i="1147" s="1"/>
  <c r="V82" i="1147" s="1"/>
  <c r="V83" i="1147" s="1"/>
  <c r="V84" i="1147" s="1"/>
  <c r="V85" i="1147" s="1"/>
  <c r="V86" i="1147" s="1"/>
  <c r="V87" i="1147" s="1"/>
  <c r="V88" i="1147" s="1"/>
  <c r="V89" i="1147" s="1"/>
  <c r="V90" i="1147" s="1"/>
  <c r="V91" i="1147" s="1"/>
  <c r="V92" i="1147" s="1"/>
  <c r="V93" i="1147" s="1"/>
  <c r="V94" i="1147" s="1"/>
  <c r="V95" i="1147" s="1"/>
  <c r="V96" i="1147" s="1"/>
  <c r="V97" i="1147" s="1"/>
  <c r="V98" i="1147" s="1"/>
  <c r="V99" i="1147" s="1"/>
  <c r="V100" i="1147" s="1"/>
  <c r="V101" i="1147" s="1"/>
  <c r="V102" i="1147" s="1"/>
  <c r="V103" i="1147" s="1"/>
  <c r="V104" i="1147" s="1"/>
  <c r="V105" i="1147" s="1"/>
  <c r="V106" i="1147" s="1"/>
  <c r="V107" i="1147" s="1"/>
  <c r="V108" i="1147" s="1"/>
  <c r="V109" i="1147" s="1"/>
  <c r="V110" i="1147" s="1"/>
  <c r="V111" i="1147" s="1"/>
  <c r="V112" i="1147" s="1"/>
  <c r="V113" i="1147" s="1"/>
  <c r="V114" i="1147" s="1"/>
  <c r="V115" i="1147" s="1"/>
  <c r="V116" i="1147" s="1"/>
  <c r="V117" i="1147" s="1"/>
  <c r="V118" i="1147" s="1"/>
  <c r="V119" i="1147" s="1"/>
  <c r="V120" i="1147" s="1"/>
  <c r="V121" i="1147" s="1"/>
  <c r="V122" i="1147" s="1"/>
  <c r="V123" i="1147" s="1"/>
  <c r="V124" i="1147" s="1"/>
  <c r="V125" i="1147" s="1"/>
  <c r="V126" i="1147" s="1"/>
  <c r="V127" i="1147" s="1"/>
  <c r="U8" i="1147"/>
  <c r="T8" i="1147"/>
  <c r="S8" i="1147"/>
  <c r="R8" i="1147"/>
  <c r="Q8" i="1147"/>
  <c r="P8" i="1147"/>
  <c r="O8" i="1147"/>
  <c r="O9" i="1147" s="1"/>
  <c r="O10" i="1147" s="1"/>
  <c r="O11" i="1147" s="1"/>
  <c r="O12" i="1147" s="1"/>
  <c r="O13" i="1147" s="1"/>
  <c r="O14" i="1147" s="1"/>
  <c r="O15" i="1147" s="1"/>
  <c r="O16" i="1147" s="1"/>
  <c r="O17" i="1147" s="1"/>
  <c r="O18" i="1147" s="1"/>
  <c r="O19" i="1147" s="1"/>
  <c r="O20" i="1147" s="1"/>
  <c r="O21" i="1147" s="1"/>
  <c r="O22" i="1147" s="1"/>
  <c r="O23" i="1147" s="1"/>
  <c r="O24" i="1147" s="1"/>
  <c r="O25" i="1147" s="1"/>
  <c r="O26" i="1147" s="1"/>
  <c r="O27" i="1147" s="1"/>
  <c r="O28" i="1147" s="1"/>
  <c r="O29" i="1147" s="1"/>
  <c r="O30" i="1147" s="1"/>
  <c r="O31" i="1147" s="1"/>
  <c r="O32" i="1147" s="1"/>
  <c r="O33" i="1147" s="1"/>
  <c r="O34" i="1147" s="1"/>
  <c r="O35" i="1147" s="1"/>
  <c r="O36" i="1147" s="1"/>
  <c r="O37" i="1147" s="1"/>
  <c r="O38" i="1147" s="1"/>
  <c r="O39" i="1147" s="1"/>
  <c r="O40" i="1147" s="1"/>
  <c r="O41" i="1147" s="1"/>
  <c r="O42" i="1147" s="1"/>
  <c r="O43" i="1147" s="1"/>
  <c r="O44" i="1147" s="1"/>
  <c r="O45" i="1147" s="1"/>
  <c r="O46" i="1147" s="1"/>
  <c r="O47" i="1147" s="1"/>
  <c r="O48" i="1147" s="1"/>
  <c r="O49" i="1147" s="1"/>
  <c r="O50" i="1147" s="1"/>
  <c r="O51" i="1147" s="1"/>
  <c r="O52" i="1147" s="1"/>
  <c r="O53" i="1147" s="1"/>
  <c r="O54" i="1147" s="1"/>
  <c r="O55" i="1147" s="1"/>
  <c r="O56" i="1147" s="1"/>
  <c r="O57" i="1147" s="1"/>
  <c r="O58" i="1147" s="1"/>
  <c r="O59" i="1147" s="1"/>
  <c r="O60" i="1147" s="1"/>
  <c r="O61" i="1147" s="1"/>
  <c r="O62" i="1147" s="1"/>
  <c r="O63" i="1147" s="1"/>
  <c r="O64" i="1147" s="1"/>
  <c r="O65" i="1147" s="1"/>
  <c r="O66" i="1147" s="1"/>
  <c r="O67" i="1147" s="1"/>
  <c r="O68" i="1147" s="1"/>
  <c r="O69" i="1147" s="1"/>
  <c r="O70" i="1147" s="1"/>
  <c r="O71" i="1147" s="1"/>
  <c r="O72" i="1147" s="1"/>
  <c r="O73" i="1147" s="1"/>
  <c r="O74" i="1147" s="1"/>
  <c r="O75" i="1147" s="1"/>
  <c r="O76" i="1147" s="1"/>
  <c r="O77" i="1147" s="1"/>
  <c r="O78" i="1147" s="1"/>
  <c r="O79" i="1147" s="1"/>
  <c r="O80" i="1147" s="1"/>
  <c r="O81" i="1147" s="1"/>
  <c r="O82" i="1147" s="1"/>
  <c r="O83" i="1147" s="1"/>
  <c r="O84" i="1147" s="1"/>
  <c r="O85" i="1147" s="1"/>
  <c r="O86" i="1147" s="1"/>
  <c r="O87" i="1147" s="1"/>
  <c r="O88" i="1147" s="1"/>
  <c r="O89" i="1147" s="1"/>
  <c r="O90" i="1147" s="1"/>
  <c r="O91" i="1147" s="1"/>
  <c r="O92" i="1147" s="1"/>
  <c r="O93" i="1147" s="1"/>
  <c r="O94" i="1147" s="1"/>
  <c r="O95" i="1147" s="1"/>
  <c r="O96" i="1147" s="1"/>
  <c r="O97" i="1147" s="1"/>
  <c r="O98" i="1147" s="1"/>
  <c r="O99" i="1147" s="1"/>
  <c r="O100" i="1147" s="1"/>
  <c r="O101" i="1147" s="1"/>
  <c r="O102" i="1147" s="1"/>
  <c r="O103" i="1147" s="1"/>
  <c r="O104" i="1147" s="1"/>
  <c r="O105" i="1147" s="1"/>
  <c r="O106" i="1147" s="1"/>
  <c r="O107" i="1147" s="1"/>
  <c r="O108" i="1147" s="1"/>
  <c r="O109" i="1147" s="1"/>
  <c r="O110" i="1147" s="1"/>
  <c r="O111" i="1147" s="1"/>
  <c r="O112" i="1147" s="1"/>
  <c r="O113" i="1147" s="1"/>
  <c r="O114" i="1147" s="1"/>
  <c r="O115" i="1147" s="1"/>
  <c r="O116" i="1147" s="1"/>
  <c r="O117" i="1147" s="1"/>
  <c r="O118" i="1147" s="1"/>
  <c r="O119" i="1147" s="1"/>
  <c r="O120" i="1147" s="1"/>
  <c r="O121" i="1147" s="1"/>
  <c r="O122" i="1147" s="1"/>
  <c r="O123" i="1147" s="1"/>
  <c r="O124" i="1147" s="1"/>
  <c r="O125" i="1147" s="1"/>
  <c r="O126" i="1147" s="1"/>
  <c r="O127" i="1147" s="1"/>
  <c r="N8" i="1147"/>
  <c r="N9" i="1147" s="1"/>
  <c r="N10" i="1147" s="1"/>
  <c r="N11" i="1147" s="1"/>
  <c r="N12" i="1147" s="1"/>
  <c r="N13" i="1147" s="1"/>
  <c r="N14" i="1147" s="1"/>
  <c r="N15" i="1147" s="1"/>
  <c r="N16" i="1147" s="1"/>
  <c r="N17" i="1147" s="1"/>
  <c r="N18" i="1147" s="1"/>
  <c r="N19" i="1147" s="1"/>
  <c r="N20" i="1147" s="1"/>
  <c r="N21" i="1147" s="1"/>
  <c r="N22" i="1147" s="1"/>
  <c r="N23" i="1147" s="1"/>
  <c r="N24" i="1147" s="1"/>
  <c r="N25" i="1147" s="1"/>
  <c r="N26" i="1147" s="1"/>
  <c r="N27" i="1147" s="1"/>
  <c r="N28" i="1147" s="1"/>
  <c r="N29" i="1147" s="1"/>
  <c r="N30" i="1147" s="1"/>
  <c r="N31" i="1147" s="1"/>
  <c r="N32" i="1147" s="1"/>
  <c r="N33" i="1147" s="1"/>
  <c r="N34" i="1147" s="1"/>
  <c r="N35" i="1147" s="1"/>
  <c r="N36" i="1147" s="1"/>
  <c r="N37" i="1147" s="1"/>
  <c r="N38" i="1147" s="1"/>
  <c r="N39" i="1147" s="1"/>
  <c r="N40" i="1147" s="1"/>
  <c r="N41" i="1147" s="1"/>
  <c r="N42" i="1147" s="1"/>
  <c r="N43" i="1147" s="1"/>
  <c r="N44" i="1147" s="1"/>
  <c r="N45" i="1147" s="1"/>
  <c r="N46" i="1147" s="1"/>
  <c r="N47" i="1147" s="1"/>
  <c r="N48" i="1147" s="1"/>
  <c r="N49" i="1147" s="1"/>
  <c r="N50" i="1147" s="1"/>
  <c r="N51" i="1147" s="1"/>
  <c r="N52" i="1147" s="1"/>
  <c r="N53" i="1147" s="1"/>
  <c r="N54" i="1147" s="1"/>
  <c r="N55" i="1147" s="1"/>
  <c r="N56" i="1147" s="1"/>
  <c r="N57" i="1147" s="1"/>
  <c r="N58" i="1147" s="1"/>
  <c r="N59" i="1147" s="1"/>
  <c r="N60" i="1147" s="1"/>
  <c r="N61" i="1147" s="1"/>
  <c r="N62" i="1147" s="1"/>
  <c r="N63" i="1147" s="1"/>
  <c r="N64" i="1147" s="1"/>
  <c r="N65" i="1147" s="1"/>
  <c r="N66" i="1147" s="1"/>
  <c r="N67" i="1147" s="1"/>
  <c r="N68" i="1147" s="1"/>
  <c r="N69" i="1147" s="1"/>
  <c r="N70" i="1147" s="1"/>
  <c r="N71" i="1147" s="1"/>
  <c r="N72" i="1147" s="1"/>
  <c r="N73" i="1147" s="1"/>
  <c r="N74" i="1147" s="1"/>
  <c r="N75" i="1147" s="1"/>
  <c r="N76" i="1147" s="1"/>
  <c r="N77" i="1147" s="1"/>
  <c r="N78" i="1147" s="1"/>
  <c r="N79" i="1147" s="1"/>
  <c r="N80" i="1147" s="1"/>
  <c r="N81" i="1147" s="1"/>
  <c r="N82" i="1147" s="1"/>
  <c r="N83" i="1147" s="1"/>
  <c r="N84" i="1147" s="1"/>
  <c r="N85" i="1147" s="1"/>
  <c r="N86" i="1147" s="1"/>
  <c r="N87" i="1147" s="1"/>
  <c r="N88" i="1147" s="1"/>
  <c r="N89" i="1147" s="1"/>
  <c r="N90" i="1147" s="1"/>
  <c r="N91" i="1147" s="1"/>
  <c r="N92" i="1147" s="1"/>
  <c r="N93" i="1147" s="1"/>
  <c r="N94" i="1147" s="1"/>
  <c r="N95" i="1147" s="1"/>
  <c r="N96" i="1147" s="1"/>
  <c r="N97" i="1147" s="1"/>
  <c r="N98" i="1147" s="1"/>
  <c r="N99" i="1147" s="1"/>
  <c r="N100" i="1147" s="1"/>
  <c r="N101" i="1147" s="1"/>
  <c r="N102" i="1147" s="1"/>
  <c r="N103" i="1147" s="1"/>
  <c r="N104" i="1147" s="1"/>
  <c r="N105" i="1147" s="1"/>
  <c r="N106" i="1147" s="1"/>
  <c r="N107" i="1147" s="1"/>
  <c r="N108" i="1147" s="1"/>
  <c r="N109" i="1147" s="1"/>
  <c r="N110" i="1147" s="1"/>
  <c r="N111" i="1147" s="1"/>
  <c r="N112" i="1147" s="1"/>
  <c r="N113" i="1147" s="1"/>
  <c r="N114" i="1147" s="1"/>
  <c r="N115" i="1147" s="1"/>
  <c r="N116" i="1147" s="1"/>
  <c r="N117" i="1147" s="1"/>
  <c r="N118" i="1147" s="1"/>
  <c r="N119" i="1147" s="1"/>
  <c r="N120" i="1147" s="1"/>
  <c r="N121" i="1147" s="1"/>
  <c r="N122" i="1147" s="1"/>
  <c r="N123" i="1147" s="1"/>
  <c r="N124" i="1147" s="1"/>
  <c r="N125" i="1147" s="1"/>
  <c r="N126" i="1147" s="1"/>
  <c r="N127" i="1147" s="1"/>
  <c r="B127" i="1147"/>
  <c r="B126" i="1147"/>
  <c r="B125" i="1147"/>
  <c r="B124" i="1147"/>
  <c r="B123" i="1147"/>
  <c r="B122" i="1147"/>
  <c r="B121" i="1147"/>
  <c r="B120" i="1147"/>
  <c r="B119" i="1147"/>
  <c r="B118" i="1147"/>
  <c r="B117" i="1147"/>
  <c r="B116" i="1147"/>
  <c r="B115" i="1147"/>
  <c r="B114" i="1147"/>
  <c r="B113" i="1147"/>
  <c r="B112" i="1147"/>
  <c r="B111" i="1147"/>
  <c r="B110" i="1147"/>
  <c r="B109" i="1147"/>
  <c r="B108" i="1147"/>
  <c r="B107" i="1147"/>
  <c r="B106" i="1147"/>
  <c r="B105" i="1147"/>
  <c r="B104" i="1147"/>
  <c r="B103" i="1147"/>
  <c r="B102" i="1147"/>
  <c r="B101" i="1147"/>
  <c r="B100" i="1147"/>
  <c r="B99" i="1147"/>
  <c r="B98" i="1147"/>
  <c r="B97" i="1147"/>
  <c r="B96" i="1147"/>
  <c r="B95" i="1147"/>
  <c r="B94" i="1147"/>
  <c r="B93" i="1147"/>
  <c r="B92" i="1147"/>
  <c r="B91" i="1147"/>
  <c r="B90" i="1147"/>
  <c r="B89" i="1147"/>
  <c r="B88" i="1147"/>
  <c r="B87" i="1147"/>
  <c r="B86" i="1147"/>
  <c r="B85" i="1147"/>
  <c r="B84" i="1147"/>
  <c r="B83" i="1147"/>
  <c r="B82" i="1147"/>
  <c r="B81" i="1147"/>
  <c r="B80" i="1147"/>
  <c r="B79" i="1147"/>
  <c r="B78" i="1147"/>
  <c r="B77" i="1147"/>
  <c r="B76" i="1147"/>
  <c r="B75" i="1147"/>
  <c r="B74" i="1147"/>
  <c r="B73" i="1147"/>
  <c r="B72" i="1147"/>
  <c r="B71" i="1147"/>
  <c r="B70" i="1147"/>
  <c r="B69" i="1147"/>
  <c r="B68" i="1147"/>
  <c r="B67" i="1147"/>
  <c r="B66" i="1147"/>
  <c r="B65" i="1147"/>
  <c r="B64" i="1147"/>
  <c r="B63" i="1147"/>
  <c r="B62" i="1147"/>
  <c r="B61" i="1147"/>
  <c r="B60" i="1147"/>
  <c r="B59" i="1147"/>
  <c r="B58" i="1147"/>
  <c r="B57" i="1147"/>
  <c r="B56" i="1147"/>
  <c r="B55" i="1147"/>
  <c r="B54" i="1147"/>
  <c r="B53" i="1147"/>
  <c r="B52" i="1147"/>
  <c r="B51" i="1147"/>
  <c r="B50" i="1147"/>
  <c r="B49" i="1147"/>
  <c r="B48" i="1147"/>
  <c r="B47" i="1147"/>
  <c r="B46" i="1147"/>
  <c r="B45" i="1147"/>
  <c r="B44" i="1147"/>
  <c r="B43" i="1147"/>
  <c r="B42" i="1147"/>
  <c r="B41" i="1147"/>
  <c r="B40" i="1147"/>
  <c r="B39" i="1147"/>
  <c r="B38" i="1147"/>
  <c r="B37" i="1147"/>
  <c r="B36" i="1147"/>
  <c r="B35" i="1147"/>
  <c r="B34" i="1147"/>
  <c r="B33" i="1147"/>
  <c r="B32" i="1147"/>
  <c r="B31" i="1147"/>
  <c r="B30" i="1147"/>
  <c r="B29" i="1147"/>
  <c r="B28" i="1147"/>
  <c r="B27" i="1147"/>
  <c r="B26" i="1147"/>
  <c r="B25" i="1147"/>
  <c r="B24" i="1147"/>
  <c r="B23" i="1147"/>
  <c r="B22" i="1147"/>
  <c r="B21" i="1147"/>
  <c r="B20" i="1147"/>
  <c r="B19" i="1147"/>
  <c r="B18" i="1147"/>
  <c r="B17" i="1147"/>
  <c r="B16" i="1147"/>
  <c r="B15" i="1147"/>
  <c r="B14" i="1147"/>
  <c r="B13" i="1147"/>
  <c r="B12" i="1147"/>
  <c r="B11" i="1147"/>
  <c r="B10" i="1147"/>
  <c r="B9" i="1147"/>
  <c r="B8" i="1147"/>
  <c r="M8" i="1147" s="1"/>
  <c r="L5" i="1147"/>
  <c r="W5" i="1147" s="1"/>
  <c r="K5" i="1147"/>
  <c r="V5" i="1147" s="1"/>
  <c r="J5" i="1147"/>
  <c r="U5" i="1147" s="1"/>
  <c r="I5" i="1147"/>
  <c r="T5" i="1147" s="1"/>
  <c r="H5" i="1147"/>
  <c r="S5" i="1147" s="1"/>
  <c r="G5" i="1147"/>
  <c r="R5" i="1147" s="1"/>
  <c r="F5" i="1147"/>
  <c r="Q5" i="1147" s="1"/>
  <c r="E5" i="1147"/>
  <c r="P5" i="1147" s="1"/>
  <c r="D5" i="1147"/>
  <c r="O5" i="1147" s="1"/>
  <c r="C5" i="1147"/>
  <c r="N5" i="1147" s="1"/>
  <c r="K8" i="1148"/>
  <c r="B127" i="1148"/>
  <c r="B126" i="1148"/>
  <c r="B125" i="1148"/>
  <c r="B124" i="1148"/>
  <c r="B123" i="1148"/>
  <c r="B122" i="1148"/>
  <c r="B121" i="1148"/>
  <c r="B120" i="1148"/>
  <c r="B119" i="1148"/>
  <c r="B118" i="1148"/>
  <c r="B117" i="1148"/>
  <c r="B116" i="1148"/>
  <c r="B115" i="1148"/>
  <c r="B114" i="1148"/>
  <c r="B113" i="1148"/>
  <c r="B112" i="1148"/>
  <c r="B111" i="1148"/>
  <c r="B110" i="1148"/>
  <c r="B109" i="1148"/>
  <c r="B108" i="1148"/>
  <c r="B107" i="1148"/>
  <c r="B106" i="1148"/>
  <c r="B105" i="1148"/>
  <c r="B104" i="1148"/>
  <c r="B103" i="1148"/>
  <c r="B102" i="1148"/>
  <c r="B101" i="1148"/>
  <c r="B100" i="1148"/>
  <c r="B99" i="1148"/>
  <c r="B98" i="1148"/>
  <c r="B97" i="1148"/>
  <c r="B96" i="1148"/>
  <c r="B95" i="1148"/>
  <c r="B94" i="1148"/>
  <c r="B93" i="1148"/>
  <c r="B92" i="1148"/>
  <c r="B91" i="1148"/>
  <c r="B90" i="1148"/>
  <c r="B89" i="1148"/>
  <c r="B88" i="1148"/>
  <c r="B87" i="1148"/>
  <c r="B86" i="1148"/>
  <c r="B85" i="1148"/>
  <c r="B84" i="1148"/>
  <c r="B83" i="1148"/>
  <c r="B82" i="1148"/>
  <c r="B81" i="1148"/>
  <c r="B80" i="1148"/>
  <c r="B79" i="1148"/>
  <c r="B78" i="1148"/>
  <c r="B77" i="1148"/>
  <c r="B76" i="1148"/>
  <c r="B75" i="1148"/>
  <c r="B74" i="1148"/>
  <c r="B73" i="1148"/>
  <c r="B72" i="1148"/>
  <c r="B71" i="1148"/>
  <c r="B70" i="1148"/>
  <c r="B69" i="1148"/>
  <c r="B68" i="1148"/>
  <c r="B67" i="1148"/>
  <c r="B66" i="1148"/>
  <c r="B65" i="1148"/>
  <c r="B64" i="1148"/>
  <c r="B63" i="1148"/>
  <c r="B62" i="1148"/>
  <c r="B61" i="1148"/>
  <c r="B60" i="1148"/>
  <c r="B59" i="1148"/>
  <c r="B58" i="1148"/>
  <c r="B57" i="1148"/>
  <c r="B56" i="1148"/>
  <c r="B55" i="1148"/>
  <c r="B54" i="1148"/>
  <c r="B53" i="1148"/>
  <c r="B52" i="1148"/>
  <c r="B51" i="1148"/>
  <c r="B50" i="1148"/>
  <c r="B49" i="1148"/>
  <c r="B48" i="1148"/>
  <c r="B47" i="1148"/>
  <c r="B46" i="1148"/>
  <c r="B45" i="1148"/>
  <c r="B44" i="1148"/>
  <c r="B43" i="1148"/>
  <c r="B42" i="1148"/>
  <c r="B41" i="1148"/>
  <c r="B40" i="1148"/>
  <c r="B39" i="1148"/>
  <c r="B38" i="1148"/>
  <c r="B37" i="1148"/>
  <c r="B36" i="1148"/>
  <c r="B35" i="1148"/>
  <c r="B34" i="1148"/>
  <c r="B33" i="1148"/>
  <c r="B32" i="1148"/>
  <c r="B31" i="1148"/>
  <c r="B30" i="1148"/>
  <c r="B29" i="1148"/>
  <c r="B28" i="1148"/>
  <c r="B27" i="1148"/>
  <c r="B26" i="1148"/>
  <c r="B25" i="1148"/>
  <c r="B24" i="1148"/>
  <c r="B23" i="1148"/>
  <c r="B22" i="1148"/>
  <c r="B21" i="1148"/>
  <c r="B20" i="1148"/>
  <c r="B19" i="1148"/>
  <c r="B18" i="1148"/>
  <c r="B17" i="1148"/>
  <c r="B16" i="1148"/>
  <c r="B15" i="1148"/>
  <c r="B14" i="1148"/>
  <c r="B13" i="1148"/>
  <c r="B12" i="1148"/>
  <c r="B11" i="1148"/>
  <c r="B10" i="1148"/>
  <c r="B9" i="1148"/>
  <c r="B8" i="1148"/>
  <c r="J5" i="1148"/>
  <c r="S5" i="1148" s="1"/>
  <c r="I5" i="1148"/>
  <c r="R5" i="1148" s="1"/>
  <c r="H5" i="1148"/>
  <c r="Q5" i="1148" s="1"/>
  <c r="G5" i="1148"/>
  <c r="P5" i="1148" s="1"/>
  <c r="F5" i="1148"/>
  <c r="O5" i="1148" s="1"/>
  <c r="E5" i="1148"/>
  <c r="N5" i="1148" s="1"/>
  <c r="D5" i="1148"/>
  <c r="M5" i="1148" s="1"/>
  <c r="C5" i="1148"/>
  <c r="L5" i="1148" s="1"/>
  <c r="M8" i="1149"/>
  <c r="M9" i="1149" s="1"/>
  <c r="M10" i="1149" s="1"/>
  <c r="M11" i="1149" s="1"/>
  <c r="M12" i="1149" s="1"/>
  <c r="M13" i="1149" s="1"/>
  <c r="M14" i="1149" s="1"/>
  <c r="M15" i="1149" s="1"/>
  <c r="M16" i="1149" s="1"/>
  <c r="M17" i="1149" s="1"/>
  <c r="M18" i="1149" s="1"/>
  <c r="M19" i="1149" s="1"/>
  <c r="M20" i="1149" s="1"/>
  <c r="M21" i="1149" s="1"/>
  <c r="M22" i="1149" s="1"/>
  <c r="M23" i="1149" s="1"/>
  <c r="M24" i="1149" s="1"/>
  <c r="M25" i="1149" s="1"/>
  <c r="M26" i="1149" s="1"/>
  <c r="M27" i="1149" s="1"/>
  <c r="M28" i="1149" s="1"/>
  <c r="M29" i="1149" s="1"/>
  <c r="M30" i="1149" s="1"/>
  <c r="M31" i="1149" s="1"/>
  <c r="M32" i="1149" s="1"/>
  <c r="M33" i="1149" s="1"/>
  <c r="M34" i="1149" s="1"/>
  <c r="M35" i="1149" s="1"/>
  <c r="M36" i="1149" s="1"/>
  <c r="M37" i="1149" s="1"/>
  <c r="M38" i="1149" s="1"/>
  <c r="M39" i="1149" s="1"/>
  <c r="M40" i="1149" s="1"/>
  <c r="M41" i="1149" s="1"/>
  <c r="M42" i="1149" s="1"/>
  <c r="M43" i="1149" s="1"/>
  <c r="M44" i="1149" s="1"/>
  <c r="M45" i="1149" s="1"/>
  <c r="M46" i="1149" s="1"/>
  <c r="M47" i="1149" s="1"/>
  <c r="M48" i="1149" s="1"/>
  <c r="M49" i="1149" s="1"/>
  <c r="M50" i="1149" s="1"/>
  <c r="M51" i="1149" s="1"/>
  <c r="M52" i="1149" s="1"/>
  <c r="M53" i="1149" s="1"/>
  <c r="M54" i="1149" s="1"/>
  <c r="M55" i="1149" s="1"/>
  <c r="M56" i="1149" s="1"/>
  <c r="M57" i="1149" s="1"/>
  <c r="M58" i="1149" s="1"/>
  <c r="M59" i="1149" s="1"/>
  <c r="M60" i="1149" s="1"/>
  <c r="M61" i="1149" s="1"/>
  <c r="M62" i="1149" s="1"/>
  <c r="M63" i="1149" s="1"/>
  <c r="M64" i="1149" s="1"/>
  <c r="M65" i="1149" s="1"/>
  <c r="M66" i="1149" s="1"/>
  <c r="M67" i="1149" s="1"/>
  <c r="M68" i="1149" s="1"/>
  <c r="M69" i="1149" s="1"/>
  <c r="M70" i="1149" s="1"/>
  <c r="M71" i="1149" s="1"/>
  <c r="M72" i="1149" s="1"/>
  <c r="M73" i="1149" s="1"/>
  <c r="M74" i="1149" s="1"/>
  <c r="M75" i="1149" s="1"/>
  <c r="M76" i="1149" s="1"/>
  <c r="M77" i="1149" s="1"/>
  <c r="M78" i="1149" s="1"/>
  <c r="M79" i="1149" s="1"/>
  <c r="M80" i="1149" s="1"/>
  <c r="M81" i="1149" s="1"/>
  <c r="M82" i="1149" s="1"/>
  <c r="M83" i="1149" s="1"/>
  <c r="M84" i="1149" s="1"/>
  <c r="M85" i="1149" s="1"/>
  <c r="M86" i="1149" s="1"/>
  <c r="M87" i="1149" s="1"/>
  <c r="M88" i="1149" s="1"/>
  <c r="M89" i="1149" s="1"/>
  <c r="M90" i="1149" s="1"/>
  <c r="M91" i="1149" s="1"/>
  <c r="M92" i="1149" s="1"/>
  <c r="M93" i="1149" s="1"/>
  <c r="M94" i="1149" s="1"/>
  <c r="M95" i="1149" s="1"/>
  <c r="M96" i="1149" s="1"/>
  <c r="M97" i="1149" s="1"/>
  <c r="M98" i="1149" s="1"/>
  <c r="M99" i="1149" s="1"/>
  <c r="M100" i="1149" s="1"/>
  <c r="M101" i="1149" s="1"/>
  <c r="M102" i="1149" s="1"/>
  <c r="M103" i="1149" s="1"/>
  <c r="M104" i="1149" s="1"/>
  <c r="M105" i="1149" s="1"/>
  <c r="M106" i="1149" s="1"/>
  <c r="M107" i="1149" s="1"/>
  <c r="M108" i="1149" s="1"/>
  <c r="M109" i="1149" s="1"/>
  <c r="M110" i="1149" s="1"/>
  <c r="M111" i="1149" s="1"/>
  <c r="M112" i="1149" s="1"/>
  <c r="M113" i="1149" s="1"/>
  <c r="M114" i="1149" s="1"/>
  <c r="M115" i="1149" s="1"/>
  <c r="M116" i="1149" s="1"/>
  <c r="M117" i="1149" s="1"/>
  <c r="M118" i="1149" s="1"/>
  <c r="M119" i="1149" s="1"/>
  <c r="M120" i="1149" s="1"/>
  <c r="M121" i="1149" s="1"/>
  <c r="M122" i="1149" s="1"/>
  <c r="M123" i="1149" s="1"/>
  <c r="M124" i="1149" s="1"/>
  <c r="M125" i="1149" s="1"/>
  <c r="M126" i="1149" s="1"/>
  <c r="M127" i="1149" s="1"/>
  <c r="L8" i="1149"/>
  <c r="L9" i="1149" s="1"/>
  <c r="L10" i="1149" s="1"/>
  <c r="L11" i="1149" s="1"/>
  <c r="L12" i="1149" s="1"/>
  <c r="L13" i="1149" s="1"/>
  <c r="L14" i="1149" s="1"/>
  <c r="L15" i="1149" s="1"/>
  <c r="L16" i="1149" s="1"/>
  <c r="L17" i="1149" s="1"/>
  <c r="L18" i="1149" s="1"/>
  <c r="L19" i="1149" s="1"/>
  <c r="L20" i="1149" s="1"/>
  <c r="L21" i="1149" s="1"/>
  <c r="L22" i="1149" s="1"/>
  <c r="L23" i="1149" s="1"/>
  <c r="L24" i="1149" s="1"/>
  <c r="L25" i="1149" s="1"/>
  <c r="L26" i="1149" s="1"/>
  <c r="L27" i="1149" s="1"/>
  <c r="L28" i="1149" s="1"/>
  <c r="L29" i="1149" s="1"/>
  <c r="L30" i="1149" s="1"/>
  <c r="L31" i="1149" s="1"/>
  <c r="L32" i="1149" s="1"/>
  <c r="L33" i="1149" s="1"/>
  <c r="L34" i="1149" s="1"/>
  <c r="L35" i="1149" s="1"/>
  <c r="L36" i="1149" s="1"/>
  <c r="L37" i="1149" s="1"/>
  <c r="L38" i="1149" s="1"/>
  <c r="L39" i="1149" s="1"/>
  <c r="L40" i="1149" s="1"/>
  <c r="L41" i="1149" s="1"/>
  <c r="L42" i="1149" s="1"/>
  <c r="L43" i="1149" s="1"/>
  <c r="L44" i="1149" s="1"/>
  <c r="L45" i="1149" s="1"/>
  <c r="L46" i="1149" s="1"/>
  <c r="L47" i="1149" s="1"/>
  <c r="L48" i="1149" s="1"/>
  <c r="L49" i="1149" s="1"/>
  <c r="L50" i="1149" s="1"/>
  <c r="L51" i="1149" s="1"/>
  <c r="L52" i="1149" s="1"/>
  <c r="L53" i="1149" s="1"/>
  <c r="L54" i="1149" s="1"/>
  <c r="L55" i="1149" s="1"/>
  <c r="L56" i="1149" s="1"/>
  <c r="L57" i="1149" s="1"/>
  <c r="L58" i="1149" s="1"/>
  <c r="L59" i="1149" s="1"/>
  <c r="L60" i="1149" s="1"/>
  <c r="L61" i="1149" s="1"/>
  <c r="L62" i="1149" s="1"/>
  <c r="L63" i="1149" s="1"/>
  <c r="L64" i="1149" s="1"/>
  <c r="L65" i="1149" s="1"/>
  <c r="L66" i="1149" s="1"/>
  <c r="L67" i="1149" s="1"/>
  <c r="L68" i="1149" s="1"/>
  <c r="L69" i="1149" s="1"/>
  <c r="L70" i="1149" s="1"/>
  <c r="L71" i="1149" s="1"/>
  <c r="L72" i="1149" s="1"/>
  <c r="L73" i="1149" s="1"/>
  <c r="L74" i="1149" s="1"/>
  <c r="L75" i="1149" s="1"/>
  <c r="L76" i="1149" s="1"/>
  <c r="L77" i="1149" s="1"/>
  <c r="L78" i="1149" s="1"/>
  <c r="L79" i="1149" s="1"/>
  <c r="L80" i="1149" s="1"/>
  <c r="L81" i="1149" s="1"/>
  <c r="L82" i="1149" s="1"/>
  <c r="L83" i="1149" s="1"/>
  <c r="L84" i="1149" s="1"/>
  <c r="L85" i="1149" s="1"/>
  <c r="L86" i="1149" s="1"/>
  <c r="L87" i="1149" s="1"/>
  <c r="L88" i="1149" s="1"/>
  <c r="L89" i="1149" s="1"/>
  <c r="L90" i="1149" s="1"/>
  <c r="L91" i="1149" s="1"/>
  <c r="L92" i="1149" s="1"/>
  <c r="L93" i="1149" s="1"/>
  <c r="L94" i="1149" s="1"/>
  <c r="L95" i="1149" s="1"/>
  <c r="L96" i="1149" s="1"/>
  <c r="L97" i="1149" s="1"/>
  <c r="L98" i="1149" s="1"/>
  <c r="L99" i="1149" s="1"/>
  <c r="L100" i="1149" s="1"/>
  <c r="L101" i="1149" s="1"/>
  <c r="L102" i="1149" s="1"/>
  <c r="L103" i="1149" s="1"/>
  <c r="L104" i="1149" s="1"/>
  <c r="L105" i="1149" s="1"/>
  <c r="L106" i="1149" s="1"/>
  <c r="L107" i="1149" s="1"/>
  <c r="L108" i="1149" s="1"/>
  <c r="L109" i="1149" s="1"/>
  <c r="L110" i="1149" s="1"/>
  <c r="L111" i="1149" s="1"/>
  <c r="L112" i="1149" s="1"/>
  <c r="L113" i="1149" s="1"/>
  <c r="L114" i="1149" s="1"/>
  <c r="L115" i="1149" s="1"/>
  <c r="L116" i="1149" s="1"/>
  <c r="L117" i="1149" s="1"/>
  <c r="L118" i="1149" s="1"/>
  <c r="L119" i="1149" s="1"/>
  <c r="L120" i="1149" s="1"/>
  <c r="L121" i="1149" s="1"/>
  <c r="L122" i="1149" s="1"/>
  <c r="L123" i="1149" s="1"/>
  <c r="L124" i="1149" s="1"/>
  <c r="L125" i="1149" s="1"/>
  <c r="L126" i="1149" s="1"/>
  <c r="L127" i="1149" s="1"/>
  <c r="K8" i="1149"/>
  <c r="K9" i="1149" s="1"/>
  <c r="K10" i="1149" s="1"/>
  <c r="K11" i="1149" s="1"/>
  <c r="K12" i="1149" s="1"/>
  <c r="K13" i="1149" s="1"/>
  <c r="K14" i="1149" s="1"/>
  <c r="K15" i="1149" s="1"/>
  <c r="K16" i="1149" s="1"/>
  <c r="K17" i="1149" s="1"/>
  <c r="K18" i="1149" s="1"/>
  <c r="K19" i="1149" s="1"/>
  <c r="K20" i="1149" s="1"/>
  <c r="K21" i="1149" s="1"/>
  <c r="K22" i="1149" s="1"/>
  <c r="K23" i="1149" s="1"/>
  <c r="K24" i="1149" s="1"/>
  <c r="K25" i="1149" s="1"/>
  <c r="K26" i="1149" s="1"/>
  <c r="K27" i="1149" s="1"/>
  <c r="K28" i="1149" s="1"/>
  <c r="K29" i="1149" s="1"/>
  <c r="K30" i="1149" s="1"/>
  <c r="K31" i="1149" s="1"/>
  <c r="K32" i="1149" s="1"/>
  <c r="K33" i="1149" s="1"/>
  <c r="K34" i="1149" s="1"/>
  <c r="K35" i="1149" s="1"/>
  <c r="K36" i="1149" s="1"/>
  <c r="K37" i="1149" s="1"/>
  <c r="K38" i="1149" s="1"/>
  <c r="K39" i="1149" s="1"/>
  <c r="K40" i="1149" s="1"/>
  <c r="K41" i="1149" s="1"/>
  <c r="K42" i="1149" s="1"/>
  <c r="K43" i="1149" s="1"/>
  <c r="K44" i="1149" s="1"/>
  <c r="K45" i="1149" s="1"/>
  <c r="K46" i="1149" s="1"/>
  <c r="K47" i="1149" s="1"/>
  <c r="K48" i="1149" s="1"/>
  <c r="K49" i="1149" s="1"/>
  <c r="K50" i="1149" s="1"/>
  <c r="K51" i="1149" s="1"/>
  <c r="K52" i="1149" s="1"/>
  <c r="K53" i="1149" s="1"/>
  <c r="K54" i="1149" s="1"/>
  <c r="K55" i="1149" s="1"/>
  <c r="K56" i="1149" s="1"/>
  <c r="K57" i="1149" s="1"/>
  <c r="K58" i="1149" s="1"/>
  <c r="K59" i="1149" s="1"/>
  <c r="K60" i="1149" s="1"/>
  <c r="K61" i="1149" s="1"/>
  <c r="K62" i="1149" s="1"/>
  <c r="K63" i="1149" s="1"/>
  <c r="K64" i="1149" s="1"/>
  <c r="K65" i="1149" s="1"/>
  <c r="K66" i="1149" s="1"/>
  <c r="K67" i="1149" s="1"/>
  <c r="K68" i="1149" s="1"/>
  <c r="K69" i="1149" s="1"/>
  <c r="K70" i="1149" s="1"/>
  <c r="K71" i="1149" s="1"/>
  <c r="K72" i="1149" s="1"/>
  <c r="K73" i="1149" s="1"/>
  <c r="K74" i="1149" s="1"/>
  <c r="K75" i="1149" s="1"/>
  <c r="K76" i="1149" s="1"/>
  <c r="K77" i="1149" s="1"/>
  <c r="K78" i="1149" s="1"/>
  <c r="K79" i="1149" s="1"/>
  <c r="K80" i="1149" s="1"/>
  <c r="K81" i="1149" s="1"/>
  <c r="K82" i="1149" s="1"/>
  <c r="K83" i="1149" s="1"/>
  <c r="K84" i="1149" s="1"/>
  <c r="K85" i="1149" s="1"/>
  <c r="K86" i="1149" s="1"/>
  <c r="K87" i="1149" s="1"/>
  <c r="K88" i="1149" s="1"/>
  <c r="K89" i="1149" s="1"/>
  <c r="K90" i="1149" s="1"/>
  <c r="K91" i="1149" s="1"/>
  <c r="K92" i="1149" s="1"/>
  <c r="K93" i="1149" s="1"/>
  <c r="K94" i="1149" s="1"/>
  <c r="K95" i="1149" s="1"/>
  <c r="K96" i="1149" s="1"/>
  <c r="K97" i="1149" s="1"/>
  <c r="K98" i="1149" s="1"/>
  <c r="K99" i="1149" s="1"/>
  <c r="K100" i="1149" s="1"/>
  <c r="K101" i="1149" s="1"/>
  <c r="K102" i="1149" s="1"/>
  <c r="K103" i="1149" s="1"/>
  <c r="K104" i="1149" s="1"/>
  <c r="K105" i="1149" s="1"/>
  <c r="K106" i="1149" s="1"/>
  <c r="K107" i="1149" s="1"/>
  <c r="K108" i="1149" s="1"/>
  <c r="K109" i="1149" s="1"/>
  <c r="K110" i="1149" s="1"/>
  <c r="K111" i="1149" s="1"/>
  <c r="K112" i="1149" s="1"/>
  <c r="K113" i="1149" s="1"/>
  <c r="K114" i="1149" s="1"/>
  <c r="K115" i="1149" s="1"/>
  <c r="K116" i="1149" s="1"/>
  <c r="K117" i="1149" s="1"/>
  <c r="K118" i="1149" s="1"/>
  <c r="K119" i="1149" s="1"/>
  <c r="K120" i="1149" s="1"/>
  <c r="K121" i="1149" s="1"/>
  <c r="K122" i="1149" s="1"/>
  <c r="K123" i="1149" s="1"/>
  <c r="K124" i="1149" s="1"/>
  <c r="K125" i="1149" s="1"/>
  <c r="K126" i="1149" s="1"/>
  <c r="K127" i="1149" s="1"/>
  <c r="J8" i="1149"/>
  <c r="J9" i="1149" s="1"/>
  <c r="J10" i="1149" s="1"/>
  <c r="J11" i="1149" s="1"/>
  <c r="J12" i="1149" s="1"/>
  <c r="J13" i="1149" s="1"/>
  <c r="J14" i="1149" s="1"/>
  <c r="J15" i="1149" s="1"/>
  <c r="J16" i="1149" s="1"/>
  <c r="J17" i="1149" s="1"/>
  <c r="J18" i="1149" s="1"/>
  <c r="J19" i="1149" s="1"/>
  <c r="J20" i="1149" s="1"/>
  <c r="J21" i="1149" s="1"/>
  <c r="J22" i="1149" s="1"/>
  <c r="J23" i="1149" s="1"/>
  <c r="J24" i="1149" s="1"/>
  <c r="J25" i="1149" s="1"/>
  <c r="J26" i="1149" s="1"/>
  <c r="J27" i="1149" s="1"/>
  <c r="J28" i="1149" s="1"/>
  <c r="J29" i="1149" s="1"/>
  <c r="J30" i="1149" s="1"/>
  <c r="J31" i="1149" s="1"/>
  <c r="J32" i="1149" s="1"/>
  <c r="J33" i="1149" s="1"/>
  <c r="J34" i="1149" s="1"/>
  <c r="J35" i="1149" s="1"/>
  <c r="J36" i="1149" s="1"/>
  <c r="J37" i="1149" s="1"/>
  <c r="J38" i="1149" s="1"/>
  <c r="J39" i="1149" s="1"/>
  <c r="J40" i="1149" s="1"/>
  <c r="J41" i="1149" s="1"/>
  <c r="J42" i="1149" s="1"/>
  <c r="J43" i="1149" s="1"/>
  <c r="J44" i="1149" s="1"/>
  <c r="J45" i="1149" s="1"/>
  <c r="J46" i="1149" s="1"/>
  <c r="J47" i="1149" s="1"/>
  <c r="J48" i="1149" s="1"/>
  <c r="J49" i="1149" s="1"/>
  <c r="J50" i="1149" s="1"/>
  <c r="J51" i="1149" s="1"/>
  <c r="J52" i="1149" s="1"/>
  <c r="J53" i="1149" s="1"/>
  <c r="J54" i="1149" s="1"/>
  <c r="J55" i="1149" s="1"/>
  <c r="J56" i="1149" s="1"/>
  <c r="J57" i="1149" s="1"/>
  <c r="J58" i="1149" s="1"/>
  <c r="J59" i="1149" s="1"/>
  <c r="J60" i="1149" s="1"/>
  <c r="J61" i="1149" s="1"/>
  <c r="J62" i="1149" s="1"/>
  <c r="J63" i="1149" s="1"/>
  <c r="J64" i="1149" s="1"/>
  <c r="J65" i="1149" s="1"/>
  <c r="J66" i="1149" s="1"/>
  <c r="J67" i="1149" s="1"/>
  <c r="J68" i="1149" s="1"/>
  <c r="J69" i="1149" s="1"/>
  <c r="J70" i="1149" s="1"/>
  <c r="J71" i="1149" s="1"/>
  <c r="J72" i="1149" s="1"/>
  <c r="J73" i="1149" s="1"/>
  <c r="J74" i="1149" s="1"/>
  <c r="J75" i="1149" s="1"/>
  <c r="J76" i="1149" s="1"/>
  <c r="J77" i="1149" s="1"/>
  <c r="J78" i="1149" s="1"/>
  <c r="J79" i="1149" s="1"/>
  <c r="J80" i="1149" s="1"/>
  <c r="J81" i="1149" s="1"/>
  <c r="J82" i="1149" s="1"/>
  <c r="J83" i="1149" s="1"/>
  <c r="J84" i="1149" s="1"/>
  <c r="J85" i="1149" s="1"/>
  <c r="J86" i="1149" s="1"/>
  <c r="J87" i="1149" s="1"/>
  <c r="J88" i="1149" s="1"/>
  <c r="J89" i="1149" s="1"/>
  <c r="J90" i="1149" s="1"/>
  <c r="J91" i="1149" s="1"/>
  <c r="J92" i="1149" s="1"/>
  <c r="J93" i="1149" s="1"/>
  <c r="J94" i="1149" s="1"/>
  <c r="J95" i="1149" s="1"/>
  <c r="J96" i="1149" s="1"/>
  <c r="J97" i="1149" s="1"/>
  <c r="J98" i="1149" s="1"/>
  <c r="J99" i="1149" s="1"/>
  <c r="J100" i="1149" s="1"/>
  <c r="J101" i="1149" s="1"/>
  <c r="J102" i="1149" s="1"/>
  <c r="J103" i="1149" s="1"/>
  <c r="J104" i="1149" s="1"/>
  <c r="J105" i="1149" s="1"/>
  <c r="J106" i="1149" s="1"/>
  <c r="J107" i="1149" s="1"/>
  <c r="J108" i="1149" s="1"/>
  <c r="J109" i="1149" s="1"/>
  <c r="J110" i="1149" s="1"/>
  <c r="J111" i="1149" s="1"/>
  <c r="J112" i="1149" s="1"/>
  <c r="J113" i="1149" s="1"/>
  <c r="J114" i="1149" s="1"/>
  <c r="J115" i="1149" s="1"/>
  <c r="J116" i="1149" s="1"/>
  <c r="J117" i="1149" s="1"/>
  <c r="J118" i="1149" s="1"/>
  <c r="J119" i="1149" s="1"/>
  <c r="J120" i="1149" s="1"/>
  <c r="J121" i="1149" s="1"/>
  <c r="J122" i="1149" s="1"/>
  <c r="J123" i="1149" s="1"/>
  <c r="J124" i="1149" s="1"/>
  <c r="J125" i="1149" s="1"/>
  <c r="J126" i="1149" s="1"/>
  <c r="J127" i="1149" s="1"/>
  <c r="I8" i="1149"/>
  <c r="I9" i="1149" s="1"/>
  <c r="I10" i="1149" s="1"/>
  <c r="I11" i="1149" s="1"/>
  <c r="I12" i="1149" s="1"/>
  <c r="I13" i="1149" s="1"/>
  <c r="I14" i="1149" s="1"/>
  <c r="I15" i="1149" s="1"/>
  <c r="I16" i="1149" s="1"/>
  <c r="I17" i="1149" s="1"/>
  <c r="I18" i="1149" s="1"/>
  <c r="I19" i="1149" s="1"/>
  <c r="I20" i="1149" s="1"/>
  <c r="I21" i="1149" s="1"/>
  <c r="I22" i="1149" s="1"/>
  <c r="I23" i="1149" s="1"/>
  <c r="I24" i="1149" s="1"/>
  <c r="I25" i="1149" s="1"/>
  <c r="I26" i="1149" s="1"/>
  <c r="I27" i="1149" s="1"/>
  <c r="I28" i="1149" s="1"/>
  <c r="I29" i="1149" s="1"/>
  <c r="I30" i="1149" s="1"/>
  <c r="I31" i="1149" s="1"/>
  <c r="I32" i="1149" s="1"/>
  <c r="I33" i="1149" s="1"/>
  <c r="I34" i="1149" s="1"/>
  <c r="I35" i="1149" s="1"/>
  <c r="I36" i="1149" s="1"/>
  <c r="I37" i="1149" s="1"/>
  <c r="I38" i="1149" s="1"/>
  <c r="I39" i="1149" s="1"/>
  <c r="I40" i="1149" s="1"/>
  <c r="I41" i="1149" s="1"/>
  <c r="I42" i="1149" s="1"/>
  <c r="I43" i="1149" s="1"/>
  <c r="I44" i="1149" s="1"/>
  <c r="I45" i="1149" s="1"/>
  <c r="I46" i="1149" s="1"/>
  <c r="I47" i="1149" s="1"/>
  <c r="I48" i="1149" s="1"/>
  <c r="I49" i="1149" s="1"/>
  <c r="I50" i="1149" s="1"/>
  <c r="I51" i="1149" s="1"/>
  <c r="I52" i="1149" s="1"/>
  <c r="I53" i="1149" s="1"/>
  <c r="I54" i="1149" s="1"/>
  <c r="I55" i="1149" s="1"/>
  <c r="I56" i="1149" s="1"/>
  <c r="I57" i="1149" s="1"/>
  <c r="I58" i="1149" s="1"/>
  <c r="I59" i="1149" s="1"/>
  <c r="I60" i="1149" s="1"/>
  <c r="I61" i="1149" s="1"/>
  <c r="I62" i="1149" s="1"/>
  <c r="I63" i="1149" s="1"/>
  <c r="I64" i="1149" s="1"/>
  <c r="I65" i="1149" s="1"/>
  <c r="I66" i="1149" s="1"/>
  <c r="I67" i="1149" s="1"/>
  <c r="I68" i="1149" s="1"/>
  <c r="I69" i="1149" s="1"/>
  <c r="I70" i="1149" s="1"/>
  <c r="I71" i="1149" s="1"/>
  <c r="I72" i="1149" s="1"/>
  <c r="I73" i="1149" s="1"/>
  <c r="I74" i="1149" s="1"/>
  <c r="I75" i="1149" s="1"/>
  <c r="I76" i="1149" s="1"/>
  <c r="I77" i="1149" s="1"/>
  <c r="I78" i="1149" s="1"/>
  <c r="I79" i="1149" s="1"/>
  <c r="I80" i="1149" s="1"/>
  <c r="I81" i="1149" s="1"/>
  <c r="I82" i="1149" s="1"/>
  <c r="I83" i="1149" s="1"/>
  <c r="I84" i="1149" s="1"/>
  <c r="I85" i="1149" s="1"/>
  <c r="I86" i="1149" s="1"/>
  <c r="I87" i="1149" s="1"/>
  <c r="I88" i="1149" s="1"/>
  <c r="I89" i="1149" s="1"/>
  <c r="I90" i="1149" s="1"/>
  <c r="I91" i="1149" s="1"/>
  <c r="I92" i="1149" s="1"/>
  <c r="I93" i="1149" s="1"/>
  <c r="I94" i="1149" s="1"/>
  <c r="I95" i="1149" s="1"/>
  <c r="I96" i="1149" s="1"/>
  <c r="I97" i="1149" s="1"/>
  <c r="I98" i="1149" s="1"/>
  <c r="I99" i="1149" s="1"/>
  <c r="I100" i="1149" s="1"/>
  <c r="I101" i="1149" s="1"/>
  <c r="I102" i="1149" s="1"/>
  <c r="I103" i="1149" s="1"/>
  <c r="I104" i="1149" s="1"/>
  <c r="I105" i="1149" s="1"/>
  <c r="I106" i="1149" s="1"/>
  <c r="I107" i="1149" s="1"/>
  <c r="I108" i="1149" s="1"/>
  <c r="I109" i="1149" s="1"/>
  <c r="I110" i="1149" s="1"/>
  <c r="I111" i="1149" s="1"/>
  <c r="I112" i="1149" s="1"/>
  <c r="I113" i="1149" s="1"/>
  <c r="I114" i="1149" s="1"/>
  <c r="I115" i="1149" s="1"/>
  <c r="I116" i="1149" s="1"/>
  <c r="I117" i="1149" s="1"/>
  <c r="I118" i="1149" s="1"/>
  <c r="I119" i="1149" s="1"/>
  <c r="I120" i="1149" s="1"/>
  <c r="I121" i="1149" s="1"/>
  <c r="I122" i="1149" s="1"/>
  <c r="I123" i="1149" s="1"/>
  <c r="I124" i="1149" s="1"/>
  <c r="I125" i="1149" s="1"/>
  <c r="I126" i="1149" s="1"/>
  <c r="I127" i="1149" s="1"/>
  <c r="M5" i="1149"/>
  <c r="B127" i="1149"/>
  <c r="B126" i="1149"/>
  <c r="B125" i="1149"/>
  <c r="B124" i="1149"/>
  <c r="B123" i="1149"/>
  <c r="B122" i="1149"/>
  <c r="B121" i="1149"/>
  <c r="B120" i="1149"/>
  <c r="B119" i="1149"/>
  <c r="B118" i="1149"/>
  <c r="B117" i="1149"/>
  <c r="B116" i="1149"/>
  <c r="B115" i="1149"/>
  <c r="B114" i="1149"/>
  <c r="B113" i="1149"/>
  <c r="B112" i="1149"/>
  <c r="B111" i="1149"/>
  <c r="B110" i="1149"/>
  <c r="B109" i="1149"/>
  <c r="B108" i="1149"/>
  <c r="B107" i="1149"/>
  <c r="B106" i="1149"/>
  <c r="B105" i="1149"/>
  <c r="B104" i="1149"/>
  <c r="B103" i="1149"/>
  <c r="B102" i="1149"/>
  <c r="B101" i="1149"/>
  <c r="B100" i="1149"/>
  <c r="B99" i="1149"/>
  <c r="B98" i="1149"/>
  <c r="B97" i="1149"/>
  <c r="B96" i="1149"/>
  <c r="B95" i="1149"/>
  <c r="B94" i="1149"/>
  <c r="B93" i="1149"/>
  <c r="B92" i="1149"/>
  <c r="B91" i="1149"/>
  <c r="B90" i="1149"/>
  <c r="B89" i="1149"/>
  <c r="B88" i="1149"/>
  <c r="B87" i="1149"/>
  <c r="B86" i="1149"/>
  <c r="B85" i="1149"/>
  <c r="B84" i="1149"/>
  <c r="B83" i="1149"/>
  <c r="B82" i="1149"/>
  <c r="B81" i="1149"/>
  <c r="B80" i="1149"/>
  <c r="B79" i="1149"/>
  <c r="B78" i="1149"/>
  <c r="B77" i="1149"/>
  <c r="B76" i="1149"/>
  <c r="B75" i="1149"/>
  <c r="B74" i="1149"/>
  <c r="B73" i="1149"/>
  <c r="B72" i="1149"/>
  <c r="B71" i="1149"/>
  <c r="B70" i="1149"/>
  <c r="B69" i="1149"/>
  <c r="B68" i="1149"/>
  <c r="B67" i="1149"/>
  <c r="B66" i="1149"/>
  <c r="B65" i="1149"/>
  <c r="B64" i="1149"/>
  <c r="B63" i="1149"/>
  <c r="B62" i="1149"/>
  <c r="B61" i="1149"/>
  <c r="B60" i="1149"/>
  <c r="B59" i="1149"/>
  <c r="B58" i="1149"/>
  <c r="B57" i="1149"/>
  <c r="B56" i="1149"/>
  <c r="B55" i="1149"/>
  <c r="B54" i="1149"/>
  <c r="B53" i="1149"/>
  <c r="B52" i="1149"/>
  <c r="B51" i="1149"/>
  <c r="B50" i="1149"/>
  <c r="B49" i="1149"/>
  <c r="B48" i="1149"/>
  <c r="B47" i="1149"/>
  <c r="B46" i="1149"/>
  <c r="B45" i="1149"/>
  <c r="B44" i="1149"/>
  <c r="B43" i="1149"/>
  <c r="B42" i="1149"/>
  <c r="B41" i="1149"/>
  <c r="B40" i="1149"/>
  <c r="B39" i="1149"/>
  <c r="B38" i="1149"/>
  <c r="B37" i="1149"/>
  <c r="B36" i="1149"/>
  <c r="B35" i="1149"/>
  <c r="B34" i="1149"/>
  <c r="B33" i="1149"/>
  <c r="B32" i="1149"/>
  <c r="B31" i="1149"/>
  <c r="B30" i="1149"/>
  <c r="B29" i="1149"/>
  <c r="B28" i="1149"/>
  <c r="B27" i="1149"/>
  <c r="B26" i="1149"/>
  <c r="B25" i="1149"/>
  <c r="B24" i="1149"/>
  <c r="B23" i="1149"/>
  <c r="B22" i="1149"/>
  <c r="B21" i="1149"/>
  <c r="B20" i="1149"/>
  <c r="B19" i="1149"/>
  <c r="B18" i="1149"/>
  <c r="B17" i="1149"/>
  <c r="B16" i="1149"/>
  <c r="B15" i="1149"/>
  <c r="B14" i="1149"/>
  <c r="B13" i="1149"/>
  <c r="B12" i="1149"/>
  <c r="B11" i="1149"/>
  <c r="B10" i="1149"/>
  <c r="B9" i="1149"/>
  <c r="B8" i="1149"/>
  <c r="G5" i="1149"/>
  <c r="F5" i="1149"/>
  <c r="L5" i="1149" s="1"/>
  <c r="E5" i="1149"/>
  <c r="K5" i="1149" s="1"/>
  <c r="D5" i="1149"/>
  <c r="J5" i="1149" s="1"/>
  <c r="C5" i="1149"/>
  <c r="I5" i="1149" s="1"/>
  <c r="D2" i="942"/>
  <c r="B4" i="942"/>
  <c r="D4" i="942" s="1"/>
  <c r="B3" i="942"/>
  <c r="D3" i="942" s="1"/>
  <c r="B2" i="942"/>
  <c r="A5" i="62"/>
  <c r="K3" i="1153" l="1"/>
  <c r="H42" i="1153" s="1"/>
  <c r="J9" i="1150"/>
  <c r="I10" i="1150"/>
  <c r="I11" i="1150" s="1"/>
  <c r="I12" i="1150" s="1"/>
  <c r="I13" i="1150" s="1"/>
  <c r="I14" i="1150" s="1"/>
  <c r="I15" i="1150" s="1"/>
  <c r="I16" i="1150" s="1"/>
  <c r="I17" i="1150" s="1"/>
  <c r="I18" i="1150" s="1"/>
  <c r="I19" i="1150" s="1"/>
  <c r="K9" i="1148"/>
  <c r="K10" i="1148" s="1"/>
  <c r="K11" i="1148" s="1"/>
  <c r="K12" i="1148" s="1"/>
  <c r="K13" i="1148" s="1"/>
  <c r="K14" i="1148" s="1"/>
  <c r="K15" i="1148" s="1"/>
  <c r="K16" i="1148" s="1"/>
  <c r="K17" i="1148" s="1"/>
  <c r="K18" i="1148" s="1"/>
  <c r="K19" i="1148" s="1"/>
  <c r="K20" i="1148" s="1"/>
  <c r="K21" i="1148" s="1"/>
  <c r="K22" i="1148" s="1"/>
  <c r="K23" i="1148" s="1"/>
  <c r="K24" i="1148" s="1"/>
  <c r="K25" i="1148" s="1"/>
  <c r="K26" i="1148" s="1"/>
  <c r="K27" i="1148" s="1"/>
  <c r="K28" i="1148" s="1"/>
  <c r="K29" i="1148" s="1"/>
  <c r="K30" i="1148" s="1"/>
  <c r="K31" i="1148" s="1"/>
  <c r="K32" i="1148" s="1"/>
  <c r="K33" i="1148" s="1"/>
  <c r="K34" i="1148" s="1"/>
  <c r="K35" i="1148" s="1"/>
  <c r="K36" i="1148" s="1"/>
  <c r="K37" i="1148" s="1"/>
  <c r="K38" i="1148" s="1"/>
  <c r="K39" i="1148" s="1"/>
  <c r="K40" i="1148" s="1"/>
  <c r="K41" i="1148" s="1"/>
  <c r="K42" i="1148" s="1"/>
  <c r="K43" i="1148" s="1"/>
  <c r="K44" i="1148" s="1"/>
  <c r="K45" i="1148" s="1"/>
  <c r="K46" i="1148" s="1"/>
  <c r="K47" i="1148" s="1"/>
  <c r="K48" i="1148" s="1"/>
  <c r="K49" i="1148" s="1"/>
  <c r="K50" i="1148" s="1"/>
  <c r="K51" i="1148" s="1"/>
  <c r="K52" i="1148" s="1"/>
  <c r="K53" i="1148" s="1"/>
  <c r="K54" i="1148" s="1"/>
  <c r="K55" i="1148" s="1"/>
  <c r="K56" i="1148" s="1"/>
  <c r="K57" i="1148" s="1"/>
  <c r="K58" i="1148" s="1"/>
  <c r="K59" i="1148" s="1"/>
  <c r="K60" i="1148" s="1"/>
  <c r="K61" i="1148" s="1"/>
  <c r="K62" i="1148" s="1"/>
  <c r="K63" i="1148" s="1"/>
  <c r="K64" i="1148" s="1"/>
  <c r="K65" i="1148" s="1"/>
  <c r="K66" i="1148" s="1"/>
  <c r="K67" i="1148" s="1"/>
  <c r="K68" i="1148" s="1"/>
  <c r="K69" i="1148" s="1"/>
  <c r="K70" i="1148" s="1"/>
  <c r="K71" i="1148" s="1"/>
  <c r="K72" i="1148" s="1"/>
  <c r="K73" i="1148" s="1"/>
  <c r="K74" i="1148" s="1"/>
  <c r="K75" i="1148" s="1"/>
  <c r="K76" i="1148" s="1"/>
  <c r="K77" i="1148" s="1"/>
  <c r="K78" i="1148" s="1"/>
  <c r="K79" i="1148" s="1"/>
  <c r="K80" i="1148" s="1"/>
  <c r="K81" i="1148" s="1"/>
  <c r="K82" i="1148" s="1"/>
  <c r="K83" i="1148" s="1"/>
  <c r="K84" i="1148" s="1"/>
  <c r="K85" i="1148" s="1"/>
  <c r="K86" i="1148" s="1"/>
  <c r="K87" i="1148" s="1"/>
  <c r="K88" i="1148" s="1"/>
  <c r="K89" i="1148" s="1"/>
  <c r="K90" i="1148" s="1"/>
  <c r="K91" i="1148" s="1"/>
  <c r="K92" i="1148" s="1"/>
  <c r="K93" i="1148" s="1"/>
  <c r="K94" i="1148" s="1"/>
  <c r="K95" i="1148" s="1"/>
  <c r="K96" i="1148" s="1"/>
  <c r="K97" i="1148" s="1"/>
  <c r="K98" i="1148" s="1"/>
  <c r="K99" i="1148" s="1"/>
  <c r="K100" i="1148" s="1"/>
  <c r="K101" i="1148" s="1"/>
  <c r="K102" i="1148" s="1"/>
  <c r="K103" i="1148" s="1"/>
  <c r="K104" i="1148" s="1"/>
  <c r="K105" i="1148" s="1"/>
  <c r="K106" i="1148" s="1"/>
  <c r="K107" i="1148" s="1"/>
  <c r="K108" i="1148" s="1"/>
  <c r="K109" i="1148" s="1"/>
  <c r="K110" i="1148" s="1"/>
  <c r="K111" i="1148" s="1"/>
  <c r="K112" i="1148" s="1"/>
  <c r="K113" i="1148" s="1"/>
  <c r="K114" i="1148" s="1"/>
  <c r="K115" i="1148" s="1"/>
  <c r="K116" i="1148" s="1"/>
  <c r="K117" i="1148" s="1"/>
  <c r="K118" i="1148" s="1"/>
  <c r="K119" i="1148" s="1"/>
  <c r="K120" i="1148" s="1"/>
  <c r="K121" i="1148" s="1"/>
  <c r="K122" i="1148" s="1"/>
  <c r="K123" i="1148" s="1"/>
  <c r="K124" i="1148" s="1"/>
  <c r="K125" i="1148" s="1"/>
  <c r="K126" i="1148" s="1"/>
  <c r="K127" i="1148" s="1"/>
  <c r="M9" i="1147"/>
  <c r="M10" i="1147" s="1"/>
  <c r="M11" i="1147" s="1"/>
  <c r="M12" i="1147" s="1"/>
  <c r="M13" i="1147" s="1"/>
  <c r="M14" i="1147" s="1"/>
  <c r="M15" i="1147" s="1"/>
  <c r="M16" i="1147" s="1"/>
  <c r="M17" i="1147" s="1"/>
  <c r="M18" i="1147" s="1"/>
  <c r="M19" i="1147" s="1"/>
  <c r="M20" i="1147" s="1"/>
  <c r="M21" i="1147" s="1"/>
  <c r="M22" i="1147" s="1"/>
  <c r="M23" i="1147" s="1"/>
  <c r="M24" i="1147" s="1"/>
  <c r="M25" i="1147" s="1"/>
  <c r="M26" i="1147" s="1"/>
  <c r="M27" i="1147" s="1"/>
  <c r="M28" i="1147" s="1"/>
  <c r="M29" i="1147" s="1"/>
  <c r="M30" i="1147" s="1"/>
  <c r="M31" i="1147" s="1"/>
  <c r="M32" i="1147" s="1"/>
  <c r="M33" i="1147" s="1"/>
  <c r="M34" i="1147" s="1"/>
  <c r="M35" i="1147" s="1"/>
  <c r="M36" i="1147" s="1"/>
  <c r="M37" i="1147" s="1"/>
  <c r="M38" i="1147" s="1"/>
  <c r="M39" i="1147" s="1"/>
  <c r="M40" i="1147" s="1"/>
  <c r="M41" i="1147" s="1"/>
  <c r="M42" i="1147" s="1"/>
  <c r="M43" i="1147" s="1"/>
  <c r="M44" i="1147" s="1"/>
  <c r="M45" i="1147" s="1"/>
  <c r="M46" i="1147" s="1"/>
  <c r="M47" i="1147" s="1"/>
  <c r="M48" i="1147" s="1"/>
  <c r="M49" i="1147" s="1"/>
  <c r="M50" i="1147" s="1"/>
  <c r="M51" i="1147" s="1"/>
  <c r="M52" i="1147" s="1"/>
  <c r="M53" i="1147" s="1"/>
  <c r="M54" i="1147" s="1"/>
  <c r="M55" i="1147" s="1"/>
  <c r="M56" i="1147" s="1"/>
  <c r="M57" i="1147" s="1"/>
  <c r="M58" i="1147" s="1"/>
  <c r="M59" i="1147" s="1"/>
  <c r="M60" i="1147" s="1"/>
  <c r="M61" i="1147" s="1"/>
  <c r="M62" i="1147" s="1"/>
  <c r="M63" i="1147" s="1"/>
  <c r="M64" i="1147" s="1"/>
  <c r="M65" i="1147" s="1"/>
  <c r="M66" i="1147" s="1"/>
  <c r="M67" i="1147" s="1"/>
  <c r="M68" i="1147" s="1"/>
  <c r="M69" i="1147" s="1"/>
  <c r="M70" i="1147" s="1"/>
  <c r="M71" i="1147" s="1"/>
  <c r="M72" i="1147" s="1"/>
  <c r="M73" i="1147" s="1"/>
  <c r="M74" i="1147" s="1"/>
  <c r="M75" i="1147" s="1"/>
  <c r="M76" i="1147" s="1"/>
  <c r="M77" i="1147" s="1"/>
  <c r="M78" i="1147" s="1"/>
  <c r="M79" i="1147" s="1"/>
  <c r="M80" i="1147" s="1"/>
  <c r="M81" i="1147" s="1"/>
  <c r="M82" i="1147" s="1"/>
  <c r="M83" i="1147" s="1"/>
  <c r="M84" i="1147" s="1"/>
  <c r="M85" i="1147" s="1"/>
  <c r="M86" i="1147" s="1"/>
  <c r="M87" i="1147" s="1"/>
  <c r="M88" i="1147" s="1"/>
  <c r="M89" i="1147" s="1"/>
  <c r="M90" i="1147" s="1"/>
  <c r="M91" i="1147" s="1"/>
  <c r="M92" i="1147" s="1"/>
  <c r="M93" i="1147" s="1"/>
  <c r="M94" i="1147" s="1"/>
  <c r="M95" i="1147" s="1"/>
  <c r="M96" i="1147" s="1"/>
  <c r="M97" i="1147" s="1"/>
  <c r="M98" i="1147" s="1"/>
  <c r="M99" i="1147" s="1"/>
  <c r="M100" i="1147" s="1"/>
  <c r="M101" i="1147" s="1"/>
  <c r="M102" i="1147" s="1"/>
  <c r="M103" i="1147" s="1"/>
  <c r="M104" i="1147" s="1"/>
  <c r="M105" i="1147" s="1"/>
  <c r="M106" i="1147" s="1"/>
  <c r="M107" i="1147" s="1"/>
  <c r="M108" i="1147" s="1"/>
  <c r="M109" i="1147" s="1"/>
  <c r="M110" i="1147" s="1"/>
  <c r="M111" i="1147" s="1"/>
  <c r="M112" i="1147" s="1"/>
  <c r="M113" i="1147" s="1"/>
  <c r="M114" i="1147" s="1"/>
  <c r="M115" i="1147" s="1"/>
  <c r="M116" i="1147" s="1"/>
  <c r="M117" i="1147" s="1"/>
  <c r="M118" i="1147" s="1"/>
  <c r="M119" i="1147" s="1"/>
  <c r="M120" i="1147" s="1"/>
  <c r="M121" i="1147" s="1"/>
  <c r="M122" i="1147" s="1"/>
  <c r="M123" i="1147" s="1"/>
  <c r="M124" i="1147" s="1"/>
  <c r="M125" i="1147" s="1"/>
  <c r="M126" i="1147" s="1"/>
  <c r="M127" i="1147" s="1"/>
  <c r="B2" i="1153"/>
  <c r="D7" i="1153"/>
  <c r="H5" i="1153"/>
  <c r="E5" i="1153"/>
  <c r="J5" i="1153"/>
  <c r="E3" i="1153"/>
  <c r="H31" i="1152"/>
  <c r="H17" i="1152"/>
  <c r="H23" i="1152"/>
  <c r="I29" i="1152"/>
  <c r="I23" i="1152"/>
  <c r="H32" i="1152"/>
  <c r="I32" i="1152"/>
  <c r="H35" i="1152"/>
  <c r="H27" i="1152"/>
  <c r="H21" i="1152"/>
  <c r="H15" i="1152"/>
  <c r="I35" i="1152"/>
  <c r="I27" i="1152"/>
  <c r="I21" i="1152"/>
  <c r="I15" i="1152"/>
  <c r="A39" i="1152"/>
  <c r="I30" i="1152"/>
  <c r="H33" i="1152"/>
  <c r="H19" i="1152"/>
  <c r="H13" i="1152"/>
  <c r="A44" i="1152"/>
  <c r="I33" i="1152"/>
  <c r="I19" i="1152"/>
  <c r="I13" i="1152"/>
  <c r="A47" i="1152"/>
  <c r="I28" i="1152"/>
  <c r="I22" i="1152"/>
  <c r="I31" i="1152"/>
  <c r="I17" i="1152"/>
  <c r="H34" i="1152"/>
  <c r="H26" i="1152"/>
  <c r="H20" i="1152"/>
  <c r="H14" i="1152"/>
  <c r="I34" i="1152"/>
  <c r="I26" i="1152"/>
  <c r="I20" i="1152"/>
  <c r="I14" i="1152"/>
  <c r="H29" i="1152"/>
  <c r="H18" i="1152"/>
  <c r="H12" i="1152"/>
  <c r="I18" i="1152"/>
  <c r="I12" i="1152"/>
  <c r="A37" i="1152"/>
  <c r="H30" i="1152"/>
  <c r="H24" i="1152"/>
  <c r="I24" i="1152"/>
  <c r="A42" i="1152"/>
  <c r="A46" i="1152"/>
  <c r="H28" i="1152"/>
  <c r="H22" i="1152"/>
  <c r="B7" i="1152"/>
  <c r="E3" i="1152"/>
  <c r="G6" i="1152"/>
  <c r="C3" i="1152"/>
  <c r="B2" i="1152"/>
  <c r="F25" i="23"/>
  <c r="F24" i="23"/>
  <c r="F23" i="23"/>
  <c r="F22" i="23"/>
  <c r="G30" i="23" s="1"/>
  <c r="F21" i="23"/>
  <c r="F20" i="23"/>
  <c r="F19" i="23"/>
  <c r="F18" i="23"/>
  <c r="F17" i="23"/>
  <c r="F16" i="23"/>
  <c r="F15" i="23"/>
  <c r="F14" i="23"/>
  <c r="F13" i="23"/>
  <c r="F12" i="23"/>
  <c r="G19" i="23" s="1"/>
  <c r="F11" i="23"/>
  <c r="F10" i="23"/>
  <c r="F9" i="23"/>
  <c r="F8" i="23"/>
  <c r="F7" i="23"/>
  <c r="F6" i="23"/>
  <c r="G10" i="23" s="1"/>
  <c r="G5" i="23" s="1"/>
  <c r="C4" i="24"/>
  <c r="B5" i="24" s="1"/>
  <c r="C5" i="24" s="1"/>
  <c r="B6" i="24" s="1"/>
  <c r="C6" i="24" s="1"/>
  <c r="B7" i="24" s="1"/>
  <c r="C7" i="24" s="1"/>
  <c r="B8" i="24" s="1"/>
  <c r="C8" i="24" s="1"/>
  <c r="B9" i="24" s="1"/>
  <c r="C9" i="24" s="1"/>
  <c r="B10" i="24" s="1"/>
  <c r="C10" i="24" s="1"/>
  <c r="B11" i="24" s="1"/>
  <c r="C11" i="24" s="1"/>
  <c r="B12" i="24" s="1"/>
  <c r="C12" i="24" s="1"/>
  <c r="B13" i="24" s="1"/>
  <c r="C13" i="24" s="1"/>
  <c r="B14" i="24" s="1"/>
  <c r="C14" i="24" s="1"/>
  <c r="B15" i="24" s="1"/>
  <c r="I35" i="1153" l="1"/>
  <c r="B46" i="1153"/>
  <c r="I14" i="1153"/>
  <c r="I18" i="1153"/>
  <c r="H41" i="1153"/>
  <c r="H35" i="1153"/>
  <c r="H19" i="1153"/>
  <c r="I17" i="1153"/>
  <c r="I44" i="1153"/>
  <c r="H27" i="1153"/>
  <c r="H31" i="1153"/>
  <c r="I30" i="1153"/>
  <c r="H21" i="1153"/>
  <c r="D43" i="1153"/>
  <c r="H34" i="1153"/>
  <c r="H14" i="1153"/>
  <c r="I24" i="1153"/>
  <c r="H15" i="1153"/>
  <c r="I29" i="1153"/>
  <c r="I41" i="1153"/>
  <c r="H17" i="1153"/>
  <c r="H20" i="1153"/>
  <c r="H24" i="1153"/>
  <c r="I43" i="1153"/>
  <c r="D41" i="1153"/>
  <c r="I32" i="1153"/>
  <c r="I22" i="1153"/>
  <c r="B44" i="1153"/>
  <c r="H33" i="1153"/>
  <c r="B42" i="1153"/>
  <c r="D46" i="1153"/>
  <c r="I45" i="1153"/>
  <c r="I23" i="1153"/>
  <c r="A55" i="1153"/>
  <c r="I33" i="1153"/>
  <c r="H44" i="1153"/>
  <c r="C57" i="1153"/>
  <c r="I19" i="1153"/>
  <c r="H43" i="1153"/>
  <c r="D42" i="1153"/>
  <c r="C56" i="1153"/>
  <c r="I13" i="1153"/>
  <c r="I21" i="1153"/>
  <c r="H32" i="1153"/>
  <c r="A60" i="1153"/>
  <c r="I15" i="1153"/>
  <c r="H26" i="1153"/>
  <c r="H12" i="1153"/>
  <c r="H22" i="1153"/>
  <c r="I34" i="1153"/>
  <c r="H23" i="1153"/>
  <c r="H30" i="1153"/>
  <c r="D44" i="1153"/>
  <c r="B41" i="1153"/>
  <c r="I26" i="1153"/>
  <c r="I28" i="1153"/>
  <c r="I20" i="1153"/>
  <c r="D45" i="1153"/>
  <c r="H45" i="1153"/>
  <c r="H28" i="1153"/>
  <c r="H13" i="1153"/>
  <c r="A59" i="1153"/>
  <c r="I27" i="1153"/>
  <c r="I42" i="1153"/>
  <c r="H18" i="1153"/>
  <c r="B43" i="1153"/>
  <c r="H29" i="1153"/>
  <c r="B45" i="1153"/>
  <c r="I12" i="1153"/>
  <c r="I31" i="1153"/>
  <c r="I20" i="1150"/>
  <c r="I21" i="1150" s="1"/>
  <c r="I22" i="1150" s="1"/>
  <c r="I23" i="1150" s="1"/>
  <c r="I24" i="1150" s="1"/>
  <c r="K19" i="1150"/>
  <c r="F3" i="23"/>
  <c r="G40" i="23"/>
  <c r="G85" i="23"/>
  <c r="G78" i="23"/>
  <c r="G67" i="23"/>
  <c r="C2" i="23"/>
  <c r="B5" i="1153" l="1"/>
  <c r="B5" i="1152"/>
  <c r="H8" i="1149"/>
  <c r="S4" i="1150" s="1"/>
  <c r="R4" i="1150" s="1"/>
  <c r="I25" i="1150"/>
  <c r="I26" i="1150" s="1"/>
  <c r="I27" i="1150" s="1"/>
  <c r="I28" i="1150" s="1"/>
  <c r="I29" i="1150" s="1"/>
  <c r="I30" i="1150" s="1"/>
  <c r="I31" i="1150" s="1"/>
  <c r="I32" i="1150" s="1"/>
  <c r="I33" i="1150" s="1"/>
  <c r="I34" i="1150" s="1"/>
  <c r="J24" i="1150"/>
  <c r="H4" i="24"/>
  <c r="H5" i="24" s="1"/>
  <c r="H6" i="24" s="1"/>
  <c r="H7" i="24" s="1"/>
  <c r="H8" i="24" s="1"/>
  <c r="H9" i="24" s="1"/>
  <c r="H10" i="24" s="1"/>
  <c r="H11" i="24" s="1"/>
  <c r="H12" i="24" s="1"/>
  <c r="H13" i="24" s="1"/>
  <c r="H14" i="24" s="1"/>
  <c r="H15" i="24" s="1"/>
  <c r="E15" i="24"/>
  <c r="F15" i="24" s="1"/>
  <c r="E14" i="24"/>
  <c r="F14" i="24" s="1"/>
  <c r="E13" i="24"/>
  <c r="F13" i="24" s="1"/>
  <c r="E12" i="24"/>
  <c r="F12" i="24" s="1"/>
  <c r="E11" i="24"/>
  <c r="F11" i="24" s="1"/>
  <c r="E10" i="24"/>
  <c r="F10" i="24" s="1"/>
  <c r="E9" i="24"/>
  <c r="F9" i="24" s="1"/>
  <c r="E8" i="24"/>
  <c r="F8" i="24" s="1"/>
  <c r="E7" i="24"/>
  <c r="F7" i="24" s="1"/>
  <c r="E6" i="24"/>
  <c r="F6" i="24" s="1"/>
  <c r="E5" i="24"/>
  <c r="E4" i="24"/>
  <c r="F4" i="24" s="1"/>
  <c r="I35" i="1150" l="1"/>
  <c r="I36" i="1150" s="1"/>
  <c r="I37" i="1150" s="1"/>
  <c r="I38" i="1150" s="1"/>
  <c r="I39" i="1150" s="1"/>
  <c r="K34" i="1150"/>
  <c r="H9" i="1149"/>
  <c r="G4" i="24"/>
  <c r="G5" i="24" s="1"/>
  <c r="G6" i="24" s="1"/>
  <c r="G7" i="24" s="1"/>
  <c r="G8" i="24" s="1"/>
  <c r="G9" i="24" s="1"/>
  <c r="G10" i="24" s="1"/>
  <c r="G11" i="24" s="1"/>
  <c r="G12" i="24" s="1"/>
  <c r="G13" i="24" s="1"/>
  <c r="G14" i="24" s="1"/>
  <c r="G15" i="24" s="1"/>
  <c r="F5" i="24"/>
  <c r="D2" i="24"/>
  <c r="E2" i="24"/>
  <c r="S5" i="1150" l="1"/>
  <c r="R5" i="1150" s="1"/>
  <c r="H10" i="1149"/>
  <c r="I40" i="1150"/>
  <c r="I41" i="1150" s="1"/>
  <c r="I42" i="1150" s="1"/>
  <c r="I43" i="1150" s="1"/>
  <c r="I44" i="1150" s="1"/>
  <c r="I45" i="1150" s="1"/>
  <c r="I46" i="1150" s="1"/>
  <c r="I47" i="1150" s="1"/>
  <c r="I48" i="1150" s="1"/>
  <c r="I49" i="1150" s="1"/>
  <c r="J39" i="1150"/>
  <c r="D1" i="818"/>
  <c r="C2" i="818"/>
  <c r="D2" i="818" s="1"/>
  <c r="G7" i="1152" l="1"/>
  <c r="I50" i="1150"/>
  <c r="I51" i="1150" s="1"/>
  <c r="I52" i="1150" s="1"/>
  <c r="I53" i="1150" s="1"/>
  <c r="I54" i="1150" s="1"/>
  <c r="K49" i="1150"/>
  <c r="H11" i="1149"/>
  <c r="S6" i="1150"/>
  <c r="R6" i="1150" s="1"/>
  <c r="C3" i="818"/>
  <c r="S7" i="1150" l="1"/>
  <c r="R7" i="1150" s="1"/>
  <c r="H12" i="1149"/>
  <c r="I55" i="1150"/>
  <c r="I56" i="1150" s="1"/>
  <c r="I57" i="1150" s="1"/>
  <c r="I58" i="1150" s="1"/>
  <c r="I59" i="1150" s="1"/>
  <c r="I60" i="1150" s="1"/>
  <c r="I61" i="1150" s="1"/>
  <c r="I62" i="1150" s="1"/>
  <c r="I63" i="1150" s="1"/>
  <c r="I64" i="1150" s="1"/>
  <c r="J54" i="1150"/>
  <c r="D3" i="818"/>
  <c r="C4" i="818"/>
  <c r="I65" i="1150" l="1"/>
  <c r="I66" i="1150" s="1"/>
  <c r="I67" i="1150" s="1"/>
  <c r="I68" i="1150" s="1"/>
  <c r="I69" i="1150" s="1"/>
  <c r="I70" i="1150" s="1"/>
  <c r="K64" i="1150"/>
  <c r="S8" i="1150"/>
  <c r="R8" i="1150" s="1"/>
  <c r="H13" i="1149"/>
  <c r="D4" i="818"/>
  <c r="C5" i="818"/>
  <c r="H14" i="1149" l="1"/>
  <c r="S9" i="1150"/>
  <c r="R9" i="1150" s="1"/>
  <c r="I7" i="1153" s="1"/>
  <c r="I71" i="1150"/>
  <c r="I72" i="1150" s="1"/>
  <c r="I73" i="1150" s="1"/>
  <c r="I74" i="1150" s="1"/>
  <c r="I75" i="1150" s="1"/>
  <c r="I76" i="1150" s="1"/>
  <c r="I77" i="1150" s="1"/>
  <c r="I78" i="1150" s="1"/>
  <c r="I79" i="1150" s="1"/>
  <c r="I80" i="1150" s="1"/>
  <c r="J70" i="1150"/>
  <c r="C6" i="818"/>
  <c r="D5" i="818"/>
  <c r="I81" i="1150" l="1"/>
  <c r="I82" i="1150" s="1"/>
  <c r="I83" i="1150" s="1"/>
  <c r="I84" i="1150" s="1"/>
  <c r="I85" i="1150" s="1"/>
  <c r="K80" i="1150"/>
  <c r="S10" i="1150"/>
  <c r="R10" i="1150" s="1"/>
  <c r="H15" i="1149"/>
  <c r="C7" i="818"/>
  <c r="D6" i="818"/>
  <c r="H16" i="1149" l="1"/>
  <c r="S11" i="1150"/>
  <c r="R11" i="1150" s="1"/>
  <c r="I86" i="1150"/>
  <c r="I87" i="1150" s="1"/>
  <c r="I88" i="1150" s="1"/>
  <c r="I89" i="1150" s="1"/>
  <c r="I90" i="1150" s="1"/>
  <c r="I91" i="1150" s="1"/>
  <c r="I92" i="1150" s="1"/>
  <c r="I93" i="1150" s="1"/>
  <c r="I94" i="1150" s="1"/>
  <c r="I95" i="1150" s="1"/>
  <c r="J85" i="1150"/>
  <c r="C8" i="818"/>
  <c r="D7" i="818"/>
  <c r="I96" i="1150" l="1"/>
  <c r="I97" i="1150" s="1"/>
  <c r="I98" i="1150" s="1"/>
  <c r="I99" i="1150" s="1"/>
  <c r="I100" i="1150" s="1"/>
  <c r="I101" i="1150" s="1"/>
  <c r="K95" i="1150"/>
  <c r="H17" i="1149"/>
  <c r="S12" i="1150"/>
  <c r="R12" i="1150" s="1"/>
  <c r="D8" i="818"/>
  <c r="C9" i="818"/>
  <c r="H18" i="1149" l="1"/>
  <c r="S13" i="1150"/>
  <c r="R13" i="1150" s="1"/>
  <c r="I102" i="1150"/>
  <c r="I103" i="1150" s="1"/>
  <c r="I104" i="1150" s="1"/>
  <c r="I105" i="1150" s="1"/>
  <c r="I106" i="1150" s="1"/>
  <c r="I107" i="1150" s="1"/>
  <c r="I108" i="1150" s="1"/>
  <c r="I109" i="1150" s="1"/>
  <c r="I110" i="1150" s="1"/>
  <c r="I111" i="1150" s="1"/>
  <c r="J101" i="1150"/>
  <c r="C10" i="818"/>
  <c r="D9" i="818"/>
  <c r="I112" i="1150" l="1"/>
  <c r="I113" i="1150" s="1"/>
  <c r="I114" i="1150" s="1"/>
  <c r="I115" i="1150" s="1"/>
  <c r="I116" i="1150" s="1"/>
  <c r="K111" i="1150"/>
  <c r="H19" i="1149"/>
  <c r="S14" i="1150"/>
  <c r="R14" i="1150" s="1"/>
  <c r="C11" i="818"/>
  <c r="D10" i="818"/>
  <c r="H20" i="1149" l="1"/>
  <c r="S15" i="1150"/>
  <c r="R15" i="1150" s="1"/>
  <c r="I117" i="1150"/>
  <c r="I118" i="1150" s="1"/>
  <c r="I119" i="1150" s="1"/>
  <c r="I120" i="1150" s="1"/>
  <c r="I121" i="1150" s="1"/>
  <c r="I122" i="1150" s="1"/>
  <c r="I123" i="1150" s="1"/>
  <c r="J116" i="1150"/>
  <c r="C12" i="818"/>
  <c r="D11" i="818"/>
  <c r="H21" i="1149" l="1"/>
  <c r="S16" i="1150"/>
  <c r="R16" i="1150" s="1"/>
  <c r="C13" i="818"/>
  <c r="D12" i="818"/>
  <c r="H22" i="1149" l="1"/>
  <c r="S17" i="1150"/>
  <c r="R17" i="1150" s="1"/>
  <c r="C14" i="818"/>
  <c r="D13" i="818"/>
  <c r="H23" i="1149" l="1"/>
  <c r="S18" i="1150"/>
  <c r="R18" i="1150" s="1"/>
  <c r="D14" i="818"/>
  <c r="C15" i="818"/>
  <c r="H24" i="1149" l="1"/>
  <c r="S19" i="1150"/>
  <c r="R19" i="1150" s="1"/>
  <c r="C16" i="818"/>
  <c r="D15" i="818"/>
  <c r="H25" i="1149" l="1"/>
  <c r="S20" i="1150"/>
  <c r="R20" i="1150" s="1"/>
  <c r="C17" i="818"/>
  <c r="D16" i="818"/>
  <c r="J1" i="24"/>
  <c r="H1" i="24"/>
  <c r="H26" i="1149" l="1"/>
  <c r="S21" i="1150"/>
  <c r="R21" i="1150" s="1"/>
  <c r="D17" i="818"/>
  <c r="C18" i="818"/>
  <c r="K1" i="24"/>
  <c r="H27" i="1149" l="1"/>
  <c r="S22" i="1150"/>
  <c r="R22" i="1150" s="1"/>
  <c r="C19" i="818"/>
  <c r="D18" i="818"/>
  <c r="G1" i="67"/>
  <c r="E1" i="67"/>
  <c r="C1" i="67" s="1"/>
  <c r="C3" i="67" s="1"/>
  <c r="S23" i="1150" l="1"/>
  <c r="R23" i="1150" s="1"/>
  <c r="H28" i="1149"/>
  <c r="C8" i="67"/>
  <c r="C20" i="818"/>
  <c r="D19" i="818"/>
  <c r="C7" i="67"/>
  <c r="C6" i="67"/>
  <c r="C5" i="67"/>
  <c r="C4" i="67"/>
  <c r="H29" i="1149" l="1"/>
  <c r="S24" i="1150"/>
  <c r="R24" i="1150" s="1"/>
  <c r="C21" i="818"/>
  <c r="D20" i="818"/>
  <c r="H30" i="1149" l="1"/>
  <c r="S25" i="1150"/>
  <c r="R25" i="1150" s="1"/>
  <c r="C22" i="818"/>
  <c r="D21" i="818"/>
  <c r="H31" i="1149" l="1"/>
  <c r="S26" i="1150"/>
  <c r="R26" i="1150" s="1"/>
  <c r="C23" i="818"/>
  <c r="D22" i="818"/>
  <c r="S27" i="1150" l="1"/>
  <c r="R27" i="1150" s="1"/>
  <c r="H32" i="1149"/>
  <c r="C24" i="818"/>
  <c r="D23" i="818"/>
  <c r="H33" i="1149" l="1"/>
  <c r="S28" i="1150"/>
  <c r="R28" i="1150" s="1"/>
  <c r="D24" i="818"/>
  <c r="C25" i="818"/>
  <c r="H34" i="1149" l="1"/>
  <c r="S29" i="1150"/>
  <c r="R29" i="1150" s="1"/>
  <c r="D25" i="818"/>
  <c r="C26" i="818"/>
  <c r="H35" i="1149" l="1"/>
  <c r="S30" i="1150"/>
  <c r="R30" i="1150" s="1"/>
  <c r="C27" i="818"/>
  <c r="D26" i="818"/>
  <c r="H36" i="1149" l="1"/>
  <c r="S31" i="1150"/>
  <c r="R31" i="1150" s="1"/>
  <c r="D27" i="818"/>
  <c r="C28" i="818"/>
  <c r="S32" i="1150" l="1"/>
  <c r="R32" i="1150" s="1"/>
  <c r="H37" i="1149"/>
  <c r="D28" i="818"/>
  <c r="C29" i="818"/>
  <c r="H38" i="1149" l="1"/>
  <c r="S33" i="1150"/>
  <c r="R33" i="1150" s="1"/>
  <c r="D29" i="818"/>
  <c r="C30" i="818"/>
  <c r="H39" i="1149" l="1"/>
  <c r="S34" i="1150"/>
  <c r="R34" i="1150" s="1"/>
  <c r="C31" i="818"/>
  <c r="D30" i="818"/>
  <c r="H40" i="1149" l="1"/>
  <c r="S35" i="1150"/>
  <c r="R35" i="1150" s="1"/>
  <c r="C32" i="818"/>
  <c r="D31" i="818"/>
  <c r="H41" i="1149" l="1"/>
  <c r="S36" i="1150"/>
  <c r="R36" i="1150" s="1"/>
  <c r="D32" i="818"/>
  <c r="C33" i="818"/>
  <c r="H42" i="1149" l="1"/>
  <c r="S37" i="1150"/>
  <c r="R37" i="1150" s="1"/>
  <c r="D33" i="818"/>
  <c r="C34" i="818"/>
  <c r="H43" i="1149" l="1"/>
  <c r="S38" i="1150"/>
  <c r="R38" i="1150" s="1"/>
  <c r="C35" i="818"/>
  <c r="D34" i="818"/>
  <c r="H44" i="1149" l="1"/>
  <c r="S39" i="1150"/>
  <c r="R39" i="1150" s="1"/>
  <c r="C36" i="818"/>
  <c r="D35" i="818"/>
  <c r="H45" i="1149" l="1"/>
  <c r="S40" i="1150"/>
  <c r="R40" i="1150" s="1"/>
  <c r="C37" i="818"/>
  <c r="D36" i="818"/>
  <c r="H46" i="1149" l="1"/>
  <c r="S41" i="1150"/>
  <c r="R41" i="1150" s="1"/>
  <c r="C38" i="818"/>
  <c r="D37" i="818"/>
  <c r="H47" i="1149" l="1"/>
  <c r="S42" i="1150"/>
  <c r="R42" i="1150" s="1"/>
  <c r="C39" i="818"/>
  <c r="D38" i="818"/>
  <c r="H48" i="1149" l="1"/>
  <c r="S43" i="1150"/>
  <c r="R43" i="1150" s="1"/>
  <c r="C40" i="818"/>
  <c r="D39" i="818"/>
  <c r="H49" i="1149" l="1"/>
  <c r="S44" i="1150"/>
  <c r="R44" i="1150" s="1"/>
  <c r="D40" i="818"/>
  <c r="C41" i="818"/>
  <c r="H50" i="1149" l="1"/>
  <c r="S45" i="1150"/>
  <c r="R45" i="1150" s="1"/>
  <c r="D41" i="818"/>
  <c r="C42" i="818"/>
  <c r="H51" i="1149" l="1"/>
  <c r="S46" i="1150"/>
  <c r="R46" i="1150" s="1"/>
  <c r="D42" i="818"/>
  <c r="C43" i="818"/>
  <c r="H52" i="1149" l="1"/>
  <c r="S47" i="1150"/>
  <c r="R47" i="1150" s="1"/>
  <c r="D43" i="818"/>
  <c r="C44" i="818"/>
  <c r="H53" i="1149" l="1"/>
  <c r="S48" i="1150"/>
  <c r="R48" i="1150" s="1"/>
  <c r="D44" i="818"/>
  <c r="C45" i="818"/>
  <c r="H54" i="1149" l="1"/>
  <c r="S49" i="1150"/>
  <c r="R49" i="1150" s="1"/>
  <c r="C46" i="818"/>
  <c r="D45" i="818"/>
  <c r="H55" i="1149" l="1"/>
  <c r="S50" i="1150"/>
  <c r="R50" i="1150" s="1"/>
  <c r="C47" i="818"/>
  <c r="D46" i="818"/>
  <c r="H56" i="1149" l="1"/>
  <c r="S51" i="1150"/>
  <c r="R51" i="1150" s="1"/>
  <c r="D47" i="818"/>
  <c r="C48" i="818"/>
  <c r="S52" i="1150" l="1"/>
  <c r="R52" i="1150" s="1"/>
  <c r="H57" i="1149"/>
  <c r="C49" i="818"/>
  <c r="D48" i="818"/>
  <c r="H58" i="1149" l="1"/>
  <c r="S53" i="1150"/>
  <c r="R53" i="1150" s="1"/>
  <c r="C50" i="818"/>
  <c r="D49" i="818"/>
  <c r="H59" i="1149" l="1"/>
  <c r="S54" i="1150"/>
  <c r="R54" i="1150" s="1"/>
  <c r="C51" i="818"/>
  <c r="D50" i="818"/>
  <c r="S55" i="1150" l="1"/>
  <c r="R55" i="1150" s="1"/>
  <c r="H60" i="1149"/>
  <c r="D51" i="818"/>
  <c r="C52" i="818"/>
  <c r="H61" i="1149" l="1"/>
  <c r="S56" i="1150"/>
  <c r="R56" i="1150" s="1"/>
  <c r="C53" i="818"/>
  <c r="D52" i="818"/>
  <c r="S57" i="1150" l="1"/>
  <c r="R57" i="1150" s="1"/>
  <c r="H62" i="1149"/>
  <c r="C54" i="818"/>
  <c r="D53" i="818"/>
  <c r="H63" i="1149" l="1"/>
  <c r="S58" i="1150"/>
  <c r="R58" i="1150" s="1"/>
  <c r="C55" i="818"/>
  <c r="D54" i="818"/>
  <c r="H64" i="1149" l="1"/>
  <c r="S59" i="1150"/>
  <c r="R59" i="1150" s="1"/>
  <c r="C56" i="818"/>
  <c r="D55" i="818"/>
  <c r="H65" i="1149" l="1"/>
  <c r="S60" i="1150"/>
  <c r="R60" i="1150" s="1"/>
  <c r="D56" i="818"/>
  <c r="C57" i="818"/>
  <c r="H66" i="1149" l="1"/>
  <c r="S61" i="1150"/>
  <c r="R61" i="1150" s="1"/>
  <c r="D57" i="818"/>
  <c r="C58" i="818"/>
  <c r="H67" i="1149" l="1"/>
  <c r="S62" i="1150"/>
  <c r="R62" i="1150" s="1"/>
  <c r="D58" i="818"/>
  <c r="C59" i="818"/>
  <c r="H68" i="1149" l="1"/>
  <c r="S63" i="1150"/>
  <c r="R63" i="1150" s="1"/>
  <c r="C60" i="818"/>
  <c r="D59" i="818"/>
  <c r="H69" i="1149" l="1"/>
  <c r="S64" i="1150"/>
  <c r="R64" i="1150" s="1"/>
  <c r="D60" i="818"/>
  <c r="C61" i="818"/>
  <c r="S65" i="1150" l="1"/>
  <c r="R65" i="1150" s="1"/>
  <c r="H70" i="1149"/>
  <c r="C62" i="818"/>
  <c r="D61" i="818"/>
  <c r="H71" i="1149" l="1"/>
  <c r="S66" i="1150"/>
  <c r="R66" i="1150" s="1"/>
  <c r="D62" i="818"/>
  <c r="C63" i="818"/>
  <c r="H72" i="1149" l="1"/>
  <c r="S67" i="1150"/>
  <c r="R67" i="1150" s="1"/>
  <c r="C64" i="818"/>
  <c r="D63" i="818"/>
  <c r="H73" i="1149" l="1"/>
  <c r="S68" i="1150"/>
  <c r="R68" i="1150" s="1"/>
  <c r="C65" i="818"/>
  <c r="D64" i="818"/>
  <c r="H74" i="1149" l="1"/>
  <c r="S69" i="1150"/>
  <c r="R69" i="1150" s="1"/>
  <c r="C66" i="818"/>
  <c r="D65" i="818"/>
  <c r="H75" i="1149" l="1"/>
  <c r="S70" i="1150"/>
  <c r="R70" i="1150" s="1"/>
  <c r="C67" i="818"/>
  <c r="D66" i="818"/>
  <c r="H76" i="1149" l="1"/>
  <c r="S71" i="1150"/>
  <c r="R71" i="1150" s="1"/>
  <c r="C68" i="818"/>
  <c r="D67" i="818"/>
  <c r="H77" i="1149" l="1"/>
  <c r="S72" i="1150"/>
  <c r="R72" i="1150" s="1"/>
  <c r="C69" i="818"/>
  <c r="D68" i="818"/>
  <c r="H78" i="1149" l="1"/>
  <c r="S73" i="1150"/>
  <c r="R73" i="1150" s="1"/>
  <c r="C70" i="818"/>
  <c r="D69" i="818"/>
  <c r="H79" i="1149" l="1"/>
  <c r="S74" i="1150"/>
  <c r="R74" i="1150" s="1"/>
  <c r="C71" i="818"/>
  <c r="D70" i="818"/>
  <c r="H80" i="1149" l="1"/>
  <c r="S75" i="1150"/>
  <c r="R75" i="1150" s="1"/>
  <c r="C72" i="818"/>
  <c r="D71" i="818"/>
  <c r="H81" i="1149" l="1"/>
  <c r="S76" i="1150"/>
  <c r="R76" i="1150" s="1"/>
  <c r="D72" i="818"/>
  <c r="C73" i="818"/>
  <c r="H82" i="1149" l="1"/>
  <c r="S77" i="1150"/>
  <c r="R77" i="1150" s="1"/>
  <c r="D73" i="818"/>
  <c r="C74" i="818"/>
  <c r="H83" i="1149" l="1"/>
  <c r="S78" i="1150"/>
  <c r="R78" i="1150" s="1"/>
  <c r="D74" i="818"/>
  <c r="C75" i="818"/>
  <c r="H84" i="1149" l="1"/>
  <c r="S79" i="1150"/>
  <c r="R79" i="1150" s="1"/>
  <c r="D75" i="818"/>
  <c r="C76" i="818"/>
  <c r="H85" i="1149" l="1"/>
  <c r="S80" i="1150"/>
  <c r="R80" i="1150" s="1"/>
  <c r="C77" i="818"/>
  <c r="D76" i="818"/>
  <c r="H86" i="1149" l="1"/>
  <c r="S81" i="1150"/>
  <c r="R81" i="1150" s="1"/>
  <c r="C78" i="818"/>
  <c r="D77" i="818"/>
  <c r="H87" i="1149" l="1"/>
  <c r="S82" i="1150"/>
  <c r="R82" i="1150" s="1"/>
  <c r="C79" i="818"/>
  <c r="D78" i="818"/>
  <c r="H88" i="1149" l="1"/>
  <c r="S83" i="1150"/>
  <c r="R83" i="1150" s="1"/>
  <c r="D79" i="818"/>
  <c r="C80" i="818"/>
  <c r="H89" i="1149" l="1"/>
  <c r="S84" i="1150"/>
  <c r="R84" i="1150" s="1"/>
  <c r="C81" i="818"/>
  <c r="D80" i="818"/>
  <c r="H90" i="1149" l="1"/>
  <c r="S85" i="1150"/>
  <c r="R85" i="1150" s="1"/>
  <c r="D81" i="818"/>
  <c r="C82" i="818"/>
  <c r="S86" i="1150" l="1"/>
  <c r="R86" i="1150" s="1"/>
  <c r="H91" i="1149"/>
  <c r="C83" i="818"/>
  <c r="D82" i="818"/>
  <c r="H92" i="1149" l="1"/>
  <c r="S87" i="1150"/>
  <c r="R87" i="1150" s="1"/>
  <c r="C84" i="818"/>
  <c r="D83" i="818"/>
  <c r="H93" i="1149" l="1"/>
  <c r="S88" i="1150"/>
  <c r="R88" i="1150" s="1"/>
  <c r="C85" i="818"/>
  <c r="D84" i="818"/>
  <c r="S89" i="1150" l="1"/>
  <c r="R89" i="1150" s="1"/>
  <c r="H94" i="1149"/>
  <c r="C86" i="818"/>
  <c r="D85" i="818"/>
  <c r="H95" i="1149" l="1"/>
  <c r="S90" i="1150"/>
  <c r="R90" i="1150" s="1"/>
  <c r="C87" i="818"/>
  <c r="D86" i="818"/>
  <c r="H96" i="1149" l="1"/>
  <c r="S91" i="1150"/>
  <c r="R91" i="1150" s="1"/>
  <c r="C88" i="818"/>
  <c r="D87" i="818"/>
  <c r="H97" i="1149" l="1"/>
  <c r="S92" i="1150"/>
  <c r="R92" i="1150" s="1"/>
  <c r="C89" i="818"/>
  <c r="D88" i="818"/>
  <c r="H98" i="1149" l="1"/>
  <c r="S93" i="1150"/>
  <c r="R93" i="1150" s="1"/>
  <c r="D89" i="818"/>
  <c r="C90" i="818"/>
  <c r="H99" i="1149" l="1"/>
  <c r="S94" i="1150"/>
  <c r="R94" i="1150" s="1"/>
  <c r="C91" i="818"/>
  <c r="D90" i="818"/>
  <c r="H100" i="1149" l="1"/>
  <c r="S95" i="1150"/>
  <c r="R95" i="1150" s="1"/>
  <c r="C92" i="818"/>
  <c r="D91" i="818"/>
  <c r="H101" i="1149" l="1"/>
  <c r="S96" i="1150"/>
  <c r="R96" i="1150" s="1"/>
  <c r="C93" i="818"/>
  <c r="D92" i="818"/>
  <c r="H102" i="1149" l="1"/>
  <c r="S97" i="1150"/>
  <c r="R97" i="1150" s="1"/>
  <c r="C94" i="818"/>
  <c r="D93" i="818"/>
  <c r="H103" i="1149" l="1"/>
  <c r="S98" i="1150"/>
  <c r="R98" i="1150" s="1"/>
  <c r="C95" i="818"/>
  <c r="D94" i="818"/>
  <c r="H104" i="1149" l="1"/>
  <c r="S99" i="1150"/>
  <c r="R99" i="1150" s="1"/>
  <c r="D95" i="818"/>
  <c r="C96" i="818"/>
  <c r="H105" i="1149" l="1"/>
  <c r="S100" i="1150"/>
  <c r="R100" i="1150" s="1"/>
  <c r="C97" i="818"/>
  <c r="D96" i="818"/>
  <c r="H106" i="1149" l="1"/>
  <c r="S101" i="1150"/>
  <c r="R101" i="1150" s="1"/>
  <c r="C98" i="818"/>
  <c r="D97" i="818"/>
  <c r="H107" i="1149" l="1"/>
  <c r="S102" i="1150"/>
  <c r="R102" i="1150" s="1"/>
  <c r="C99" i="818"/>
  <c r="D98" i="818"/>
  <c r="H108" i="1149" l="1"/>
  <c r="S103" i="1150"/>
  <c r="R103" i="1150" s="1"/>
  <c r="C100" i="818"/>
  <c r="D99" i="818"/>
  <c r="H109" i="1149" l="1"/>
  <c r="S104" i="1150"/>
  <c r="R104" i="1150" s="1"/>
  <c r="D100" i="818"/>
  <c r="C101" i="818"/>
  <c r="S105" i="1150" l="1"/>
  <c r="R105" i="1150" s="1"/>
  <c r="H110" i="1149"/>
  <c r="D101" i="818"/>
  <c r="C102" i="818"/>
  <c r="H111" i="1149" l="1"/>
  <c r="S106" i="1150"/>
  <c r="R106" i="1150" s="1"/>
  <c r="D102" i="818"/>
  <c r="C103" i="818"/>
  <c r="H112" i="1149" l="1"/>
  <c r="S107" i="1150"/>
  <c r="R107" i="1150" s="1"/>
  <c r="C104" i="818"/>
  <c r="D103" i="818"/>
  <c r="H113" i="1149" l="1"/>
  <c r="S108" i="1150"/>
  <c r="R108" i="1150" s="1"/>
  <c r="C105" i="818"/>
  <c r="D104" i="818"/>
  <c r="S109" i="1150" l="1"/>
  <c r="R109" i="1150" s="1"/>
  <c r="H114" i="1149"/>
  <c r="D105" i="818"/>
  <c r="C106" i="818"/>
  <c r="S110" i="1150" l="1"/>
  <c r="R110" i="1150" s="1"/>
  <c r="H115" i="1149"/>
  <c r="C107" i="818"/>
  <c r="D106" i="818"/>
  <c r="H116" i="1149" l="1"/>
  <c r="S111" i="1150"/>
  <c r="R111" i="1150" s="1"/>
  <c r="D107" i="818"/>
  <c r="C108" i="818"/>
  <c r="S112" i="1150" l="1"/>
  <c r="R112" i="1150" s="1"/>
  <c r="H117" i="1149"/>
  <c r="C109" i="818"/>
  <c r="D108" i="818"/>
  <c r="H118" i="1149" l="1"/>
  <c r="S113" i="1150"/>
  <c r="R113" i="1150" s="1"/>
  <c r="C110" i="818"/>
  <c r="D109" i="818"/>
  <c r="H119" i="1149" l="1"/>
  <c r="S114" i="1150"/>
  <c r="R114" i="1150" s="1"/>
  <c r="C111" i="818"/>
  <c r="D110" i="818"/>
  <c r="H120" i="1149" l="1"/>
  <c r="S115" i="1150"/>
  <c r="R115" i="1150" s="1"/>
  <c r="C112" i="818"/>
  <c r="D111" i="818"/>
  <c r="H121" i="1149" l="1"/>
  <c r="S116" i="1150"/>
  <c r="R116" i="1150" s="1"/>
  <c r="D112" i="818"/>
  <c r="C113" i="818"/>
  <c r="H122" i="1149" l="1"/>
  <c r="S117" i="1150"/>
  <c r="R117" i="1150" s="1"/>
  <c r="D113" i="818"/>
  <c r="C114" i="818"/>
  <c r="H123" i="1149" l="1"/>
  <c r="S118" i="1150"/>
  <c r="R118" i="1150" s="1"/>
  <c r="D114" i="818"/>
  <c r="C115" i="818"/>
  <c r="S119" i="1150" l="1"/>
  <c r="R119" i="1150" s="1"/>
  <c r="H124" i="1149"/>
  <c r="C116" i="818"/>
  <c r="D115" i="818"/>
  <c r="H125" i="1149" l="1"/>
  <c r="S120" i="1150"/>
  <c r="R120" i="1150" s="1"/>
  <c r="D116" i="818"/>
  <c r="C117" i="818"/>
  <c r="H126" i="1149" l="1"/>
  <c r="S121" i="1150"/>
  <c r="R121" i="1150" s="1"/>
  <c r="D117" i="818"/>
  <c r="C118" i="818"/>
  <c r="H127" i="1149" l="1"/>
  <c r="S123" i="1150" s="1"/>
  <c r="R123" i="1150" s="1"/>
  <c r="S122" i="1150"/>
  <c r="R122" i="1150" s="1"/>
  <c r="C119" i="818"/>
  <c r="D118" i="818"/>
  <c r="C120" i="818" l="1"/>
  <c r="D119" i="818"/>
  <c r="C121" i="818" l="1"/>
  <c r="D120" i="818"/>
  <c r="C122" i="818" l="1"/>
  <c r="D121" i="818"/>
  <c r="C123" i="818" l="1"/>
  <c r="D122" i="818"/>
  <c r="D123" i="818" l="1"/>
  <c r="C124" i="818"/>
  <c r="D124" i="818" l="1"/>
  <c r="C125" i="818"/>
  <c r="D125" i="818" l="1"/>
  <c r="C126" i="818"/>
  <c r="C127" i="818" l="1"/>
  <c r="D126" i="818"/>
  <c r="C128" i="818" l="1"/>
  <c r="D127" i="818"/>
  <c r="D128" i="818" l="1"/>
  <c r="C129" i="818"/>
  <c r="C130" i="818" l="1"/>
  <c r="D129" i="818"/>
  <c r="D130" i="818" l="1"/>
  <c r="C131" i="818"/>
  <c r="D131" i="818" l="1"/>
  <c r="C132" i="818"/>
  <c r="C133" i="818" l="1"/>
  <c r="D132" i="818"/>
  <c r="C134" i="818" l="1"/>
  <c r="D133" i="818"/>
  <c r="D134" i="818" l="1"/>
  <c r="C135" i="818"/>
  <c r="D135" i="818" l="1"/>
  <c r="C136" i="818"/>
  <c r="C137" i="818" l="1"/>
  <c r="D136" i="818"/>
  <c r="D137" i="818" l="1"/>
  <c r="C138" i="818"/>
  <c r="D138" i="818" l="1"/>
  <c r="C139" i="818"/>
  <c r="D139" i="818" l="1"/>
  <c r="C140" i="818"/>
  <c r="D140" i="818" l="1"/>
  <c r="C141" i="818"/>
  <c r="C142" i="818" l="1"/>
  <c r="D141" i="818"/>
  <c r="C143" i="818" l="1"/>
  <c r="D142" i="818"/>
  <c r="D143" i="818" l="1"/>
  <c r="C144" i="818"/>
  <c r="C145" i="818" l="1"/>
  <c r="D144" i="818"/>
  <c r="C146" i="818" l="1"/>
  <c r="D145" i="818"/>
  <c r="C147" i="818" l="1"/>
  <c r="D146" i="818"/>
  <c r="D147" i="818" l="1"/>
  <c r="C148" i="818"/>
  <c r="C149" i="818" l="1"/>
  <c r="D148" i="818"/>
  <c r="C150" i="818" l="1"/>
  <c r="D150" i="818" s="1"/>
  <c r="D149" i="818"/>
</calcChain>
</file>

<file path=xl/sharedStrings.xml><?xml version="1.0" encoding="utf-8"?>
<sst xmlns="http://schemas.openxmlformats.org/spreadsheetml/2006/main" count="920" uniqueCount="509">
  <si>
    <t>項次</t>
    <phoneticPr fontId="4" type="noConversion"/>
  </si>
  <si>
    <t>單位</t>
    <phoneticPr fontId="4" type="noConversion"/>
  </si>
  <si>
    <t>數量</t>
    <phoneticPr fontId="4" type="noConversion"/>
  </si>
  <si>
    <t>材料名稱</t>
    <phoneticPr fontId="4" type="noConversion"/>
  </si>
  <si>
    <t>監造計畫</t>
    <phoneticPr fontId="6" type="noConversion"/>
  </si>
  <si>
    <t>提送日期</t>
    <phoneticPr fontId="6" type="noConversion"/>
  </si>
  <si>
    <t>簽約日</t>
    <phoneticPr fontId="6" type="noConversion"/>
  </si>
  <si>
    <t>開工日</t>
    <phoneticPr fontId="6" type="noConversion"/>
  </si>
  <si>
    <t>完工日</t>
    <phoneticPr fontId="6" type="noConversion"/>
  </si>
  <si>
    <t>備註</t>
    <phoneticPr fontId="6" type="noConversion"/>
  </si>
  <si>
    <t>簽約前</t>
    <phoneticPr fontId="6" type="noConversion"/>
  </si>
  <si>
    <t>品管計畫</t>
    <phoneticPr fontId="6" type="noConversion"/>
  </si>
  <si>
    <t>施工計畫</t>
    <phoneticPr fontId="6" type="noConversion"/>
  </si>
  <si>
    <t>簽約日起15日內</t>
    <phoneticPr fontId="6" type="noConversion"/>
  </si>
  <si>
    <t>勞安環保計畫</t>
    <phoneticPr fontId="6" type="noConversion"/>
  </si>
  <si>
    <t>3000萬以下</t>
    <phoneticPr fontId="6" type="noConversion"/>
  </si>
  <si>
    <t>勞安品管告知說明會</t>
    <phoneticPr fontId="6" type="noConversion"/>
  </si>
  <si>
    <t>開工前</t>
    <phoneticPr fontId="6" type="noConversion"/>
  </si>
  <si>
    <t>第一次工地會議</t>
    <phoneticPr fontId="6" type="noConversion"/>
  </si>
  <si>
    <t>開工後</t>
    <phoneticPr fontId="6" type="noConversion"/>
  </si>
  <si>
    <t>廠商 工地負責人</t>
    <phoneticPr fontId="6" type="noConversion"/>
  </si>
  <si>
    <t>廠商 品管人員</t>
    <phoneticPr fontId="6" type="noConversion"/>
  </si>
  <si>
    <t>廠商 勞安人員</t>
    <phoneticPr fontId="6" type="noConversion"/>
  </si>
  <si>
    <t>姓名</t>
    <phoneticPr fontId="6" type="noConversion"/>
  </si>
  <si>
    <t>電話(手機)</t>
    <phoneticPr fontId="6" type="noConversion"/>
  </si>
  <si>
    <t>傳真</t>
    <phoneticPr fontId="6" type="noConversion"/>
  </si>
  <si>
    <t>保險</t>
    <phoneticPr fontId="6" type="noConversion"/>
  </si>
  <si>
    <t>工程告示牌</t>
    <phoneticPr fontId="6" type="noConversion"/>
  </si>
  <si>
    <t>執行作業</t>
    <phoneticPr fontId="6" type="noConversion"/>
  </si>
  <si>
    <t>預定日期</t>
    <phoneticPr fontId="6" type="noConversion"/>
  </si>
  <si>
    <t>完成日期</t>
    <phoneticPr fontId="6" type="noConversion"/>
  </si>
  <si>
    <t>施作日期</t>
    <phoneticPr fontId="6" type="noConversion"/>
  </si>
  <si>
    <t>每日危害告知(勞安)</t>
    <phoneticPr fontId="6" type="noConversion"/>
  </si>
  <si>
    <t>施工日誌</t>
    <phoneticPr fontId="6" type="noConversion"/>
  </si>
  <si>
    <t>實際提送日</t>
    <phoneticPr fontId="6" type="noConversion"/>
  </si>
  <si>
    <t>核訂日期</t>
    <phoneticPr fontId="6" type="noConversion"/>
  </si>
  <si>
    <t>核定文號</t>
    <phoneticPr fontId="6" type="noConversion"/>
  </si>
  <si>
    <t>每週1次(每月1、10、25日)</t>
    <phoneticPr fontId="6" type="noConversion"/>
  </si>
  <si>
    <t>勞安、環保檢查</t>
    <phoneticPr fontId="6" type="noConversion"/>
  </si>
  <si>
    <t>每日</t>
    <phoneticPr fontId="6" type="noConversion"/>
  </si>
  <si>
    <t>每月1次</t>
    <phoneticPr fontId="6" type="noConversion"/>
  </si>
  <si>
    <t>廠商 技師</t>
    <phoneticPr fontId="6" type="noConversion"/>
  </si>
  <si>
    <t>逾4年需36小時回訓</t>
    <phoneticPr fontId="6" type="noConversion"/>
  </si>
  <si>
    <t>汛期防災自主檢查表</t>
    <phoneticPr fontId="6" type="noConversion"/>
  </si>
  <si>
    <t>每日檢點表</t>
    <phoneticPr fontId="6" type="noConversion"/>
  </si>
  <si>
    <t>一般安全檢查</t>
    <phoneticPr fontId="6" type="noConversion"/>
  </si>
  <si>
    <t>開挖作業安全檢查表</t>
    <phoneticPr fontId="6" type="noConversion"/>
  </si>
  <si>
    <t>混凝土澆置作業安全檢查表</t>
    <phoneticPr fontId="6" type="noConversion"/>
  </si>
  <si>
    <t>模板澆置作業安全檢查表</t>
    <phoneticPr fontId="6" type="noConversion"/>
  </si>
  <si>
    <t>鋼筋澆置作業安全檢查表</t>
    <phoneticPr fontId="6" type="noConversion"/>
  </si>
  <si>
    <t>視需要</t>
    <phoneticPr fontId="6" type="noConversion"/>
  </si>
  <si>
    <t>逾2年需6小時回訓</t>
    <phoneticPr fontId="6" type="noConversion"/>
  </si>
  <si>
    <t>第1類工程</t>
    <phoneticPr fontId="6" type="noConversion"/>
  </si>
  <si>
    <t>第2類工程</t>
  </si>
  <si>
    <t>第3類工程</t>
  </si>
  <si>
    <t>第4類工程</t>
  </si>
  <si>
    <t>2億以上</t>
    <phoneticPr fontId="6" type="noConversion"/>
  </si>
  <si>
    <t>5千萬至1億</t>
    <phoneticPr fontId="6" type="noConversion"/>
  </si>
  <si>
    <t>5千萬以下</t>
    <phoneticPr fontId="6" type="noConversion"/>
  </si>
  <si>
    <t>5千萬以下，簽約次日起15日內。2億以下20日。2億以上30日。。</t>
    <phoneticPr fontId="6" type="noConversion"/>
  </si>
  <si>
    <t>工務行政管理手冊</t>
    <phoneticPr fontId="6" type="noConversion"/>
  </si>
  <si>
    <t>勞安告示牌(含工作守則)</t>
    <phoneticPr fontId="6" type="noConversion"/>
  </si>
  <si>
    <t>檢驗項目</t>
    <phoneticPr fontId="4" type="noConversion"/>
  </si>
  <si>
    <t>工程編號</t>
    <phoneticPr fontId="4" type="noConversion"/>
  </si>
  <si>
    <t>承攬廠商</t>
    <phoneticPr fontId="4" type="noConversion"/>
  </si>
  <si>
    <t>工程名稱</t>
    <phoneticPr fontId="4" type="noConversion"/>
  </si>
  <si>
    <t>式</t>
  </si>
  <si>
    <t>輸入明細表欄位數</t>
  </si>
  <si>
    <t>輸入第1項明細表欄位數</t>
  </si>
  <si>
    <t>資料欄位數</t>
  </si>
  <si>
    <t>廠商 公司負責人</t>
    <phoneticPr fontId="6" type="noConversion"/>
  </si>
  <si>
    <t>1億至2億</t>
    <phoneticPr fontId="6" type="noConversion"/>
  </si>
  <si>
    <t>起始日期</t>
    <phoneticPr fontId="6" type="noConversion"/>
  </si>
  <si>
    <t>增加假日</t>
    <phoneticPr fontId="6" type="noConversion"/>
  </si>
  <si>
    <t>減少例假日</t>
    <phoneticPr fontId="6" type="noConversion"/>
  </si>
  <si>
    <t>**只增加特定不工作日</t>
    <phoneticPr fontId="6" type="noConversion"/>
  </si>
  <si>
    <t>工期天數</t>
  </si>
  <si>
    <t>完工日期</t>
    <phoneticPr fontId="6" type="noConversion"/>
  </si>
  <si>
    <t>工作天數</t>
    <phoneticPr fontId="6" type="noConversion"/>
  </si>
  <si>
    <t>累計百分比</t>
    <phoneticPr fontId="6" type="noConversion"/>
  </si>
  <si>
    <t>預定進度表</t>
    <phoneticPr fontId="6" type="noConversion"/>
  </si>
  <si>
    <t>編號</t>
    <phoneticPr fontId="6" type="noConversion"/>
  </si>
  <si>
    <t>起始日</t>
    <phoneticPr fontId="6" type="noConversion"/>
  </si>
  <si>
    <t>終止日</t>
    <phoneticPr fontId="6" type="noConversion"/>
  </si>
  <si>
    <t>進度</t>
    <phoneticPr fontId="6" type="noConversion"/>
  </si>
  <si>
    <t>間距日數</t>
    <phoneticPr fontId="6" type="noConversion"/>
  </si>
  <si>
    <t>每天進度量</t>
    <phoneticPr fontId="6" type="noConversion"/>
  </si>
  <si>
    <t>工程項目</t>
    <phoneticPr fontId="4" type="noConversion"/>
  </si>
  <si>
    <t>工項名稱</t>
    <phoneticPr fontId="4" type="noConversion"/>
  </si>
  <si>
    <t>機具名稱</t>
    <phoneticPr fontId="4" type="noConversion"/>
  </si>
  <si>
    <t>技工</t>
  </si>
  <si>
    <t>半技工</t>
  </si>
  <si>
    <t>普通工</t>
  </si>
  <si>
    <t>組</t>
  </si>
  <si>
    <t>挖土機</t>
  </si>
  <si>
    <t>吊車</t>
  </si>
  <si>
    <t>卡車</t>
  </si>
  <si>
    <t>泥水工</t>
  </si>
  <si>
    <t>預拌車</t>
  </si>
  <si>
    <t>機械操作工</t>
  </si>
  <si>
    <t>灑水車</t>
  </si>
  <si>
    <t>建築細木工</t>
  </si>
  <si>
    <t>水電工</t>
  </si>
  <si>
    <t>其他工</t>
  </si>
  <si>
    <t>數 量</t>
  </si>
  <si>
    <t>假設工程</t>
  </si>
  <si>
    <t>領班</t>
  </si>
  <si>
    <t>挖土機</t>
    <phoneticPr fontId="6" type="noConversion"/>
  </si>
  <si>
    <t>領班</t>
    <phoneticPr fontId="6" type="noConversion"/>
  </si>
  <si>
    <t>挖 土 機</t>
    <phoneticPr fontId="6" type="noConversion"/>
  </si>
  <si>
    <t>砂輪機</t>
    <phoneticPr fontId="6" type="noConversion"/>
  </si>
  <si>
    <t>主任</t>
  </si>
  <si>
    <t>現場工程師</t>
    <phoneticPr fontId="6" type="noConversion"/>
  </si>
  <si>
    <t>吊車</t>
    <phoneticPr fontId="6" type="noConversion"/>
  </si>
  <si>
    <t>小工</t>
    <phoneticPr fontId="6" type="noConversion"/>
  </si>
  <si>
    <t>大        工</t>
  </si>
  <si>
    <t>卡 車</t>
    <phoneticPr fontId="6" type="noConversion"/>
  </si>
  <si>
    <t>大工</t>
    <phoneticPr fontId="6" type="noConversion"/>
  </si>
  <si>
    <t>卡車</t>
    <phoneticPr fontId="6" type="noConversion"/>
  </si>
  <si>
    <t>破碎機</t>
    <phoneticPr fontId="6" type="noConversion"/>
  </si>
  <si>
    <t>工程師</t>
  </si>
  <si>
    <t>破碎機</t>
  </si>
  <si>
    <t>混凝土工</t>
    <phoneticPr fontId="6" type="noConversion"/>
  </si>
  <si>
    <t>小        工</t>
  </si>
  <si>
    <t>工 程 車</t>
    <phoneticPr fontId="6" type="noConversion"/>
  </si>
  <si>
    <t>刨除機</t>
    <phoneticPr fontId="6" type="noConversion"/>
  </si>
  <si>
    <t>攪拌機</t>
    <phoneticPr fontId="6" type="noConversion"/>
  </si>
  <si>
    <t>點工</t>
  </si>
  <si>
    <t>卡　車</t>
  </si>
  <si>
    <t>鋼筋工</t>
    <phoneticPr fontId="6" type="noConversion"/>
  </si>
  <si>
    <t>吊  車</t>
    <phoneticPr fontId="6" type="noConversion"/>
  </si>
  <si>
    <t>鋪裝機</t>
    <phoneticPr fontId="6" type="noConversion"/>
  </si>
  <si>
    <t>加壓機</t>
    <phoneticPr fontId="6" type="noConversion"/>
  </si>
  <si>
    <t>打石工</t>
  </si>
  <si>
    <t>泵送車</t>
    <phoneticPr fontId="16" type="noConversion"/>
  </si>
  <si>
    <t>模板工</t>
    <phoneticPr fontId="6" type="noConversion"/>
  </si>
  <si>
    <t>空中作業車</t>
    <phoneticPr fontId="6" type="noConversion"/>
  </si>
  <si>
    <t>壓路機組</t>
    <phoneticPr fontId="6" type="noConversion"/>
  </si>
  <si>
    <t>點焊機</t>
    <phoneticPr fontId="6" type="noConversion"/>
  </si>
  <si>
    <t>鋼筋工</t>
  </si>
  <si>
    <t>吊卡車</t>
    <phoneticPr fontId="16" type="noConversion"/>
  </si>
  <si>
    <t>模板工</t>
  </si>
  <si>
    <t>打樁機</t>
  </si>
  <si>
    <t>混凝土工</t>
  </si>
  <si>
    <t>吊　車</t>
  </si>
  <si>
    <t>水電工</t>
    <phoneticPr fontId="16" type="noConversion"/>
  </si>
  <si>
    <t>拖　車</t>
  </si>
  <si>
    <t>泥作工</t>
    <phoneticPr fontId="16" type="noConversion"/>
  </si>
  <si>
    <t>夯實機</t>
  </si>
  <si>
    <t>鐵工</t>
    <phoneticPr fontId="16" type="noConversion"/>
  </si>
  <si>
    <t>小山貓</t>
  </si>
  <si>
    <t>測量工</t>
    <phoneticPr fontId="16" type="noConversion"/>
  </si>
  <si>
    <t>鏟土機</t>
  </si>
  <si>
    <t>植栽工</t>
    <phoneticPr fontId="16" type="noConversion"/>
  </si>
  <si>
    <t>水車</t>
  </si>
  <si>
    <t>防水工</t>
    <phoneticPr fontId="16" type="noConversion"/>
  </si>
  <si>
    <t>傾卸車</t>
  </si>
  <si>
    <t>油漆工</t>
    <phoneticPr fontId="16" type="noConversion"/>
  </si>
  <si>
    <t>高空作業車</t>
    <phoneticPr fontId="16" type="noConversion"/>
  </si>
  <si>
    <t>施工架工</t>
    <phoneticPr fontId="16" type="noConversion"/>
  </si>
  <si>
    <t>門窗戶工</t>
    <phoneticPr fontId="16" type="noConversion"/>
  </si>
  <si>
    <t>開工</t>
    <phoneticPr fontId="6" type="noConversion"/>
  </si>
  <si>
    <t>完工</t>
    <phoneticPr fontId="6" type="noConversion"/>
  </si>
  <si>
    <t>日期區間(日)</t>
    <phoneticPr fontId="6" type="noConversion"/>
  </si>
  <si>
    <t>累計天數</t>
    <phoneticPr fontId="6" type="noConversion"/>
  </si>
  <si>
    <t>累計進度</t>
    <phoneticPr fontId="6" type="noConversion"/>
  </si>
  <si>
    <t>工程名稱</t>
  </si>
  <si>
    <t>不包含最後項之工項數，例如保險、管理費及營業稅等,-----先預設為0，視需要時添入數量</t>
  </si>
  <si>
    <t>詳細價目表[契約]</t>
  </si>
  <si>
    <t>會計科目</t>
  </si>
  <si>
    <t>施工地點</t>
  </si>
  <si>
    <t>工程編號</t>
  </si>
  <si>
    <t>項 次</t>
  </si>
  <si>
    <t>項  目  及  說  明</t>
  </si>
  <si>
    <t>單 位</t>
  </si>
  <si>
    <t>單 價</t>
  </si>
  <si>
    <t>複 價</t>
  </si>
  <si>
    <t>編碼(備註)</t>
  </si>
  <si>
    <t>M</t>
  </si>
  <si>
    <t>M2</t>
  </si>
  <si>
    <t>停止列</t>
  </si>
  <si>
    <t>顯示1</t>
  </si>
  <si>
    <t>顯示2</t>
  </si>
  <si>
    <t>顯示3</t>
  </si>
  <si>
    <t>基本資料建置</t>
    <phoneticPr fontId="6" type="noConversion"/>
  </si>
  <si>
    <t>開始列</t>
  </si>
  <si>
    <t>開工日期</t>
    <phoneticPr fontId="6" type="noConversion"/>
  </si>
  <si>
    <t>單價</t>
    <phoneticPr fontId="4" type="noConversion"/>
  </si>
  <si>
    <t>總價</t>
    <phoneticPr fontId="4" type="noConversion"/>
  </si>
  <si>
    <t>工項名稱</t>
    <phoneticPr fontId="4" type="noConversion"/>
  </si>
  <si>
    <t>機具名稱</t>
    <phoneticPr fontId="4" type="noConversion"/>
  </si>
  <si>
    <t>現場工程師</t>
    <phoneticPr fontId="6" type="noConversion"/>
  </si>
  <si>
    <t>普通工</t>
    <phoneticPr fontId="6" type="noConversion"/>
  </si>
  <si>
    <t>體力工</t>
    <phoneticPr fontId="6" type="noConversion"/>
  </si>
  <si>
    <t>其他工</t>
    <phoneticPr fontId="6" type="noConversion"/>
  </si>
  <si>
    <t>工項名稱</t>
    <phoneticPr fontId="4" type="noConversion"/>
  </si>
  <si>
    <t>機具名稱</t>
    <phoneticPr fontId="4" type="noConversion"/>
  </si>
  <si>
    <t>灑水車</t>
    <phoneticPr fontId="6" type="noConversion"/>
  </si>
  <si>
    <t>場</t>
  </si>
  <si>
    <t>壹</t>
  </si>
  <si>
    <t>一</t>
  </si>
  <si>
    <t>座</t>
  </si>
  <si>
    <t>二</t>
  </si>
  <si>
    <t>三</t>
  </si>
  <si>
    <t>C.M3</t>
  </si>
  <si>
    <t>瀝青透層</t>
  </si>
  <si>
    <t>瀝青黏層</t>
  </si>
  <si>
    <t>四</t>
  </si>
  <si>
    <t>五</t>
  </si>
  <si>
    <t>六</t>
  </si>
  <si>
    <t>七</t>
  </si>
  <si>
    <t>八</t>
  </si>
  <si>
    <t>雲林縣潮厝華德福教育實驗國民小學</t>
  </si>
  <si>
    <t>潮厝華德福國小新建運動場地工程</t>
  </si>
  <si>
    <t>1130721-1-01-02</t>
  </si>
  <si>
    <t>發包工作費</t>
  </si>
  <si>
    <t>(一)</t>
  </si>
  <si>
    <t>施工通道開闢與復原</t>
  </si>
  <si>
    <t>01574000042</t>
  </si>
  <si>
    <t>(二)</t>
  </si>
  <si>
    <t>告示牌(租用)</t>
  </si>
  <si>
    <t>015831000B,*</t>
  </si>
  <si>
    <t>(三)</t>
  </si>
  <si>
    <t>(四)</t>
  </si>
  <si>
    <t>原有結構物損壞修復及銜接平順費</t>
  </si>
  <si>
    <t>029501601,*</t>
  </si>
  <si>
    <t>徑賽跑道整建工程</t>
  </si>
  <si>
    <t>整地、測量與定點</t>
  </si>
  <si>
    <t>028971020A,*</t>
  </si>
  <si>
    <t>場鑄緣石</t>
  </si>
  <si>
    <t>0277010001,*</t>
  </si>
  <si>
    <t>砌紅磚，1/2B</t>
  </si>
  <si>
    <t>0421100202</t>
  </si>
  <si>
    <t>鋼筋混凝土管(B型)，D=300mm，三級管</t>
  </si>
  <si>
    <t>026102A321</t>
  </si>
  <si>
    <t>(五)</t>
  </si>
  <si>
    <t>8"水平排水管，高密度聚乙烯HDPE管</t>
  </si>
  <si>
    <t>0237753RPA#,*</t>
  </si>
  <si>
    <t>(六)</t>
  </si>
  <si>
    <t>預鑄樹酯陰井</t>
  </si>
  <si>
    <t>0905000085,*</t>
  </si>
  <si>
    <t>(七)</t>
  </si>
  <si>
    <t>跑道內側排水溝</t>
  </si>
  <si>
    <t>02601300D4,*</t>
  </si>
  <si>
    <t>(八)</t>
  </si>
  <si>
    <t>鑽孔(8"，含無收縮水泥收邊)</t>
  </si>
  <si>
    <t>孔</t>
  </si>
  <si>
    <t>02218A0001#</t>
  </si>
  <si>
    <t>(九)</t>
  </si>
  <si>
    <t>客土，砂質壤土</t>
  </si>
  <si>
    <t>M3</t>
  </si>
  <si>
    <t>02900B1003,#</t>
  </si>
  <si>
    <t>(十)</t>
  </si>
  <si>
    <t>(十一)</t>
  </si>
  <si>
    <t>0274500002</t>
  </si>
  <si>
    <t>(十二)</t>
  </si>
  <si>
    <t>0274700002</t>
  </si>
  <si>
    <t>(十三)</t>
  </si>
  <si>
    <t>瀝青混凝土舖面，t=7.0cm</t>
  </si>
  <si>
    <t>027420N002#,*</t>
  </si>
  <si>
    <t>(十四)</t>
  </si>
  <si>
    <t>場地積水測試及場地整理</t>
  </si>
  <si>
    <t>167237000B07,*</t>
  </si>
  <si>
    <t>(十五)</t>
  </si>
  <si>
    <t>全密式PU複合型跑道 t&gt;13mm</t>
  </si>
  <si>
    <t>M09050Z0020,*</t>
  </si>
  <si>
    <t>(十六)</t>
  </si>
  <si>
    <t>跑道面層顏色收邊作業費</t>
  </si>
  <si>
    <t>0991000104</t>
  </si>
  <si>
    <t>(十七)</t>
  </si>
  <si>
    <t>跑道及項目標線</t>
  </si>
  <si>
    <t>0289810002</t>
  </si>
  <si>
    <t>(十八)</t>
  </si>
  <si>
    <t>3mm彈性壓克力面層</t>
  </si>
  <si>
    <t>0905000070</t>
  </si>
  <si>
    <t>(十九)</t>
  </si>
  <si>
    <t>場地畫線</t>
  </si>
  <si>
    <t>0905000076,*</t>
  </si>
  <si>
    <t>(二十)</t>
  </si>
  <si>
    <t>單柱式籃球架</t>
  </si>
  <si>
    <t>1148120008</t>
  </si>
  <si>
    <t>(二十一)</t>
  </si>
  <si>
    <t>預埋排球樁(每組2只)</t>
  </si>
  <si>
    <t>15110S000008</t>
  </si>
  <si>
    <t>(二十二)</t>
  </si>
  <si>
    <t>防護網</t>
  </si>
  <si>
    <t>0552020001,*</t>
  </si>
  <si>
    <t>(二十三)</t>
  </si>
  <si>
    <t>出入小門(新設)</t>
  </si>
  <si>
    <t>樘</t>
  </si>
  <si>
    <t>0905000092</t>
  </si>
  <si>
    <t>(二十四)</t>
  </si>
  <si>
    <t>運動場草皮區供水水龍頭</t>
  </si>
  <si>
    <t>1541000005</t>
  </si>
  <si>
    <t>田賽場地整建工程</t>
  </si>
  <si>
    <t>跳遠場地砂(白砂)</t>
  </si>
  <si>
    <t>0905000062</t>
  </si>
  <si>
    <t>起跳板組件</t>
  </si>
  <si>
    <t>1615000013</t>
  </si>
  <si>
    <t>草皮區</t>
  </si>
  <si>
    <t>02900B1003</t>
  </si>
  <si>
    <t>植栽，面層沃土</t>
  </si>
  <si>
    <t>Z110902020</t>
  </si>
  <si>
    <t>植草，單一草種(鋪植塊狀草皮)</t>
  </si>
  <si>
    <t>0292001J92,*</t>
  </si>
  <si>
    <t>0249600004,*</t>
  </si>
  <si>
    <t>品質管制作業費(約A項之1.0%)</t>
  </si>
  <si>
    <t>職業安全衛生管理費(約A項之0.3%)</t>
  </si>
  <si>
    <t>環境保護措施費</t>
  </si>
  <si>
    <t>01572000041,*</t>
  </si>
  <si>
    <t>九</t>
  </si>
  <si>
    <t>包商利潤及管理費(約B項之7.0%)</t>
  </si>
  <si>
    <t>十</t>
  </si>
  <si>
    <t>營造綜合保險費(約B項之0.3%)</t>
  </si>
  <si>
    <t>十一</t>
  </si>
  <si>
    <t>營業稅(C項之5%)</t>
  </si>
  <si>
    <t>0156403102,*</t>
    <phoneticPr fontId="6" type="noConversion"/>
  </si>
  <si>
    <t>02722150U2#,*</t>
    <phoneticPr fontId="6" type="noConversion"/>
  </si>
  <si>
    <t>乙種圍籬及交通錐等安全阻隔設施架設及復原</t>
    <phoneticPr fontId="6" type="noConversion"/>
  </si>
  <si>
    <t>級配粒料基層，碎石級配，總厚30cm，鋪設及滾壓</t>
    <phoneticPr fontId="6" type="noConversion"/>
  </si>
  <si>
    <t>材料抽檢試驗費合計(壹.一～壹.五)-(A)</t>
    <phoneticPr fontId="6" type="noConversion"/>
  </si>
  <si>
    <t>工程項目</t>
  </si>
  <si>
    <t>單    價</t>
  </si>
  <si>
    <t>設計數量</t>
  </si>
  <si>
    <t>累計完成數量</t>
  </si>
  <si>
    <t>日期</t>
  </si>
  <si>
    <t>當日累計↓單位→</t>
  </si>
  <si>
    <t>累計</t>
  </si>
  <si>
    <t>晴</t>
  </si>
  <si>
    <t>重要事項紀錄</t>
  </si>
  <si>
    <t>通知廠商辦理事項</t>
  </si>
  <si>
    <t>工期</t>
  </si>
  <si>
    <t>累計工期</t>
  </si>
  <si>
    <t>剩餘工期</t>
  </si>
  <si>
    <t>本日</t>
  </si>
  <si>
    <t>半月進度</t>
  </si>
  <si>
    <t>10、25進度</t>
  </si>
  <si>
    <t>查核材料含施工取樣試驗紀錄</t>
  </si>
  <si>
    <t>預定進度</t>
  </si>
  <si>
    <t>督導工地職業安全衛生事項</t>
  </si>
  <si>
    <t>通知協力廠商辦理事項</t>
  </si>
  <si>
    <t>監督依照設計圖說施工（含約定之檢驗停留點及施工抽查等情形）</t>
  </si>
  <si>
    <t>日誌編號</t>
  </si>
  <si>
    <t>監造編號</t>
  </si>
  <si>
    <t>累計實際進度(日誌)</t>
  </si>
  <si>
    <t>累計實際進度(公式計算)</t>
  </si>
  <si>
    <t>展延天數</t>
  </si>
  <si>
    <t>材料項目</t>
  </si>
  <si>
    <t>計畫數量</t>
  </si>
  <si>
    <t>出工情形</t>
  </si>
  <si>
    <t>機具使用量</t>
  </si>
  <si>
    <t>表報編號:</t>
  </si>
  <si>
    <t>本日天氣:</t>
  </si>
  <si>
    <t>上午:</t>
  </si>
  <si>
    <t>下午:</t>
  </si>
  <si>
    <t>填報日期:</t>
  </si>
  <si>
    <t>契約工期</t>
  </si>
  <si>
    <t>開工日期</t>
  </si>
  <si>
    <t>預定完工日期</t>
  </si>
  <si>
    <t>實際完工日期</t>
  </si>
  <si>
    <t>契約變更次數</t>
  </si>
  <si>
    <t>工期展延天數</t>
  </si>
  <si>
    <t>契約
金額</t>
  </si>
  <si>
    <t>原契約:</t>
  </si>
  <si>
    <t>變更後契約:</t>
  </si>
  <si>
    <t>預定進度(%)</t>
  </si>
  <si>
    <t>實際進度(%)</t>
  </si>
  <si>
    <t>起始日期</t>
  </si>
  <si>
    <t>最後日期</t>
  </si>
  <si>
    <t>temp</t>
  </si>
  <si>
    <t>一、工程進行情況（含約定之重要施工項目及數量）</t>
  </si>
  <si>
    <t>項次</t>
  </si>
  <si>
    <t>施工項目</t>
  </si>
  <si>
    <t>單位</t>
  </si>
  <si>
    <t>契約數量</t>
  </si>
  <si>
    <t>本日完成數量</t>
  </si>
  <si>
    <t>備註</t>
  </si>
  <si>
    <t>二、監督依照設計圖說施工（含約定之檢驗停留點及施工抽查等情形）:</t>
  </si>
  <si>
    <t>三、查核材料規格及品質（含約定之檢驗停留點、材料設備管制及檢（試）驗等抽驗情形）:</t>
  </si>
  <si>
    <t>四、督導工地職業安全衛生事項:</t>
  </si>
  <si>
    <t>（一）施工廠商施工前檢查事項辦理情形：□完成 □未完成</t>
  </si>
  <si>
    <t>（二）其他工地安全衛生督導事項：</t>
  </si>
  <si>
    <t>五、其他約定監造事項（含重要事項紀錄、主辦機關指示及通知廠商辦理事項等）:</t>
  </si>
  <si>
    <t>監造單位簽章:</t>
  </si>
  <si>
    <t>附註：</t>
  </si>
  <si>
    <t>1.監造報告表原則應包含上述欄位；惟若上述欄位之內容業詳載於廠商填報之施工日誌，並按時陳報監造單位核備者，則監造報表之該等欄位可載明參詳施工日誌。</t>
  </si>
  <si>
    <t>2.本表原則應按日填寫，機關另有規定者，從其規定；若屬委外監造之工程，則一律按日填寫。未達新臺幣五千萬元或工期為九十日曆天以下之工程，得由機關統一訂定內部稽查程序及監造報告表之填報方式與周期。</t>
  </si>
  <si>
    <t>3.本監造報告表格式僅供參考，各機關亦得依契約約定事項，自行增訂之。</t>
  </si>
  <si>
    <t>4.契約工期如有修正，應填修正後之契約工期，含展延工期及不計工期天數；如有依契約變更設計，預定進度及實際進度應填變更設計後計算之進度。</t>
  </si>
  <si>
    <t>5.公共工程屬建築物者，仍應依本表辦理。惟該工程之監造人（建築師），應另依內政部最新訂頒之「建築物（監督、查核）報告表」填報。</t>
  </si>
  <si>
    <t>填表日期:</t>
  </si>
  <si>
    <t>承攬廠商名稱</t>
  </si>
  <si>
    <t>完工日期</t>
  </si>
  <si>
    <t>一、依施工計畫書執行按圖施工概況（含約定之重要施工項目及完成數量等）：</t>
  </si>
  <si>
    <t>二、工地材料管理概況(含約定之重要材料使用狀況及數量)：</t>
  </si>
  <si>
    <t>材料名稱</t>
  </si>
  <si>
    <t>本日使用數量</t>
  </si>
  <si>
    <t>累計使用數量</t>
  </si>
  <si>
    <t>三、工地人員及機具管理（含約定之出工人數及機具使用情形及數量）：</t>
  </si>
  <si>
    <t>工  別</t>
  </si>
  <si>
    <t>本日人數</t>
  </si>
  <si>
    <t>累計人數</t>
  </si>
  <si>
    <t>機具名稱</t>
  </si>
  <si>
    <t>五、工地職業安全衛生事項之督導、公共環境與安全之維護及其他工地行政事務：</t>
  </si>
  <si>
    <t>(ㄧ)施工前檢查事項：</t>
  </si>
  <si>
    <t>(二)其他事項：</t>
  </si>
  <si>
    <t>六、施工取樣試驗紀錄：</t>
  </si>
  <si>
    <t>七、通知協力廠商辦理事項：</t>
  </si>
  <si>
    <t>八、重要事項紀錄：</t>
  </si>
  <si>
    <t>簽章:[工地負責人](註3)：</t>
  </si>
  <si>
    <t>1.依營造業法第32條第1項第2款規定，工地主任應按日填報施工日誌。</t>
  </si>
  <si>
    <t>2.本施工日誌格式僅供參考，惟原則應包含上開欄位，各機關亦得依工程性質及契約約定事項自行增訂之。</t>
  </si>
  <si>
    <t>3.本工程依營造業法第30條規定須置工地主任者，由工地主任簽章；依上開規定免置工地主任者，則由營造業法第32條第2項所定之人員簽章。廠商非屬營造業者，由工地負責人簽章。</t>
  </si>
  <si>
    <t>4.契約工期如有修正，應填修正後之契約工期，含展延工期及不計工期天數；如有依契約變更設計，預定進度及實際進度應填變更設計後計算之進度</t>
  </si>
  <si>
    <t>5.上開重要事項記錄包含（1）主辦機關及監造單位指示（2）工地遇緊急異常狀況之通報處理情形（3）本日是否由專任工程人員督察按圖施工、解決施工技術問題等。</t>
  </si>
  <si>
    <t>6.上開施工前檢查事項所列工作應由職業安全衛生管理辦法第3條規定所置職業安全衛生人員於每日施工前辦理(檢查紀錄參考範例如附工地職業安全衛生施工前檢查紀錄表)，工地主任負責督導及確認該事項完成後於施工日誌填載。</t>
  </si>
  <si>
    <t>7.公共工程屬建築物者，請依內政部99年2月5日台內營字第0990800804號令頒之「建築物施工日誌」填寫。</t>
  </si>
  <si>
    <t>欲搜尋材料名稱</t>
  </si>
  <si>
    <t>欲查詢之名細表(1~5)</t>
  </si>
  <si>
    <t>貳</t>
  </si>
  <si>
    <t>輸入第2項明細表欄位數</t>
  </si>
  <si>
    <t>輸入第3項明細表欄位數</t>
  </si>
  <si>
    <t>結構用混凝土</t>
  </si>
  <si>
    <t>結構用混凝土</t>
    <phoneticPr fontId="6" type="noConversion"/>
  </si>
  <si>
    <t>公共工程施工日誌</t>
  </si>
  <si>
    <t>核定工期</t>
  </si>
  <si>
    <t>四、本日施工項目是否有須依「營造業專業工程特定施工項目應置之技術士總類、比率或人數標準表」規定應設置技術士之專業工程：□有□無（此項如勾選 [有]，則應填寫後附「公共工程施工日誌之技術士簽章表」）</t>
  </si>
  <si>
    <t>最後顯示列</t>
  </si>
  <si>
    <t>公共工程監造報表</t>
  </si>
  <si>
    <t>乙種安全圍籬與三角錐連桿警示燈(租用)</t>
  </si>
  <si>
    <t>工程告示牌與職安告示牌(租用)</t>
  </si>
  <si>
    <t>場地放樣及測量</t>
  </si>
  <si>
    <t>既有設施及設備損壞復原與配合遷移與清運(含廢棄物清運證明)</t>
  </si>
  <si>
    <t>排水溝整建工程</t>
  </si>
  <si>
    <t>西側排水溝打除及清運；開挖水溝施作位置；既有水溝清淤</t>
  </si>
  <si>
    <t>東側排水溝打除及清運；開挖水溝施作位置；既有水溝清淤</t>
  </si>
  <si>
    <t>新作西側排水溝；設置鍍鋅鋼材止滑細縫水溝蓋及鍍鋅花紋鋼板；溝體破損處修補及調整溝底洩水坡度；切割挖除清運既有跑道面層與基礎，設置RC地坪，面層抿石子</t>
  </si>
  <si>
    <t>新作東側排水溝；設置化妝蓋板及鍍鋅花紋鋼板；溝體破損處修補及調整溝底洩水坡度</t>
  </si>
  <si>
    <t>新作陰井(含陰井蓋)及涵管</t>
  </si>
  <si>
    <t>抽水馬達與浮球開關(含線路接引與專用開關箱)</t>
  </si>
  <si>
    <t>原有地坪連鎖磚拆除及重鋪；表面以高壓水槍清潔</t>
  </si>
  <si>
    <t>原有喬木移除及運棄；移植水溝施工位置喬木</t>
  </si>
  <si>
    <t>洗手台整建工程</t>
  </si>
  <si>
    <t>既有洗手台拆除及運棄；2F既有洗手台拉皮</t>
  </si>
  <si>
    <t>素地清潔整理</t>
  </si>
  <si>
    <t>新作洗手台</t>
  </si>
  <si>
    <t>給排水工程</t>
  </si>
  <si>
    <t>周邊改善修復</t>
  </si>
  <si>
    <t>職業安全衛生管理費（壹*1%）</t>
  </si>
  <si>
    <t>參</t>
  </si>
  <si>
    <t>公共工程品質管制作業費（壹*1%）</t>
  </si>
  <si>
    <t>肆</t>
  </si>
  <si>
    <t>包商管理及利潤費（約壹*7%）</t>
  </si>
  <si>
    <t>伍</t>
  </si>
  <si>
    <t>保險費</t>
  </si>
  <si>
    <t>陸</t>
  </si>
  <si>
    <t>營業稅（(壹~伍)*5％）</t>
  </si>
  <si>
    <t>壹</t>
    <phoneticPr fontId="4" type="noConversion"/>
  </si>
  <si>
    <t>直接工程</t>
    <phoneticPr fontId="4" type="noConversion"/>
  </si>
  <si>
    <t>後埔國小113年度充實設施設備-改善校園環境工程</t>
    <phoneticPr fontId="4" type="noConversion"/>
  </si>
  <si>
    <t>聖隆營造有限公司</t>
    <phoneticPr fontId="4" type="noConversion"/>
  </si>
  <si>
    <t>114-</t>
    <phoneticPr fontId="4" type="noConversion"/>
  </si>
  <si>
    <t>現場工程師</t>
    <phoneticPr fontId="6" type="noConversion"/>
  </si>
  <si>
    <t>體力工</t>
    <phoneticPr fontId="6" type="noConversion"/>
  </si>
  <si>
    <t>其他工</t>
    <phoneticPr fontId="6" type="noConversion"/>
  </si>
  <si>
    <t>工項名稱</t>
    <phoneticPr fontId="4" type="noConversion"/>
  </si>
  <si>
    <t>機具名稱</t>
    <phoneticPr fontId="4" type="noConversion"/>
  </si>
  <si>
    <t>壹.直接工程</t>
  </si>
  <si>
    <t>二.排水溝整建工程</t>
  </si>
  <si>
    <t>三.洗手台整建工程</t>
  </si>
  <si>
    <t>天氣</t>
    <phoneticPr fontId="6" type="noConversion"/>
  </si>
  <si>
    <t>現場工程師</t>
  </si>
  <si>
    <t>體力工</t>
  </si>
  <si>
    <t xml:space="preserve">  1.實施勤前教育(含工地預防災變及危害告知)：□有 □無</t>
    <phoneticPr fontId="6" type="noConversion"/>
  </si>
  <si>
    <t xml:space="preserve">  3.檢查勞工個人防護具：□有 □無</t>
    <phoneticPr fontId="6" type="noConversion"/>
  </si>
  <si>
    <t xml:space="preserve">  2.確認新進勞工是否提報勞工保險(或其他商業保險)資料及安全衛生教育訓練紀錄：□有 □無 □無新進勞工</t>
    <phoneticPr fontId="6" type="noConversion"/>
  </si>
  <si>
    <t>材料準備中，無進場施作。</t>
    <phoneticPr fontId="6" type="noConversion"/>
  </si>
  <si>
    <t>乙種安全圍籬與三角錐連桿警示燈(租用)</t>
    <phoneticPr fontId="6" type="noConversion"/>
  </si>
  <si>
    <t>工程告示牌與職安告示牌(租用)</t>
    <phoneticPr fontId="6" type="noConversion"/>
  </si>
  <si>
    <t>雨</t>
    <phoneticPr fontId="6" type="noConversion"/>
  </si>
  <si>
    <t>陰</t>
    <phoneticPr fontId="6" type="noConversion"/>
  </si>
  <si>
    <t>場地放樣及測量</t>
    <phoneticPr fontId="6" type="noConversion"/>
  </si>
  <si>
    <t>既有洗手台拆除及運棄；2F既有洗手台拉皮</t>
    <phoneticPr fontId="6" type="noConversion"/>
  </si>
  <si>
    <t>原有喬木移除及運棄；移植水溝施工位置喬木</t>
    <phoneticPr fontId="6" type="noConversion"/>
  </si>
  <si>
    <t>新作陰井(含陰井蓋)及涵管</t>
    <phoneticPr fontId="6" type="noConversion"/>
  </si>
  <si>
    <t>西側排水溝打除及清運；開挖水溝施作位置；既有水溝清淤</t>
    <phoneticPr fontId="6" type="noConversion"/>
  </si>
  <si>
    <t>東側排水溝打除及清運；開挖水溝施作位置；既有水溝清淤</t>
    <phoneticPr fontId="6" type="noConversion"/>
  </si>
  <si>
    <t>新作東側排水溝；設置化妝蓋板及鍍鋅花紋鋼板；溝體破損處修補及調整溝底洩水坡度</t>
    <phoneticPr fontId="6" type="noConversion"/>
  </si>
  <si>
    <t>1.場地放樣及測量。</t>
    <phoneticPr fontId="6" type="noConversion"/>
  </si>
  <si>
    <t>1.場地放樣及測量。
2.既有洗手台拆除。</t>
    <phoneticPr fontId="6" type="noConversion"/>
  </si>
  <si>
    <t>1.原有喬木移除及運棄。</t>
    <phoneticPr fontId="6" type="noConversion"/>
  </si>
  <si>
    <t>1.新作陰井。</t>
    <phoneticPr fontId="6" type="noConversion"/>
  </si>
  <si>
    <t>1.新作陰井。
2.原有喬木移除及運棄。</t>
    <phoneticPr fontId="6" type="noConversion"/>
  </si>
  <si>
    <t>1.水溝開挖。</t>
    <phoneticPr fontId="6" type="noConversion"/>
  </si>
  <si>
    <t>1.混凝土、鋼筋取樣。
2.新作東側排水溝。</t>
    <phoneticPr fontId="6" type="noConversion"/>
  </si>
  <si>
    <t>1.西側排水溝開挖。
2.東側排水溝開挖。</t>
    <phoneticPr fontId="6" type="noConversion"/>
  </si>
  <si>
    <t>1.西側排水溝開挖。
2.東側排水溝開挖。
3.新作陰井。</t>
    <phoneticPr fontId="6" type="noConversion"/>
  </si>
  <si>
    <t>1.既有排水溝打除。</t>
    <phoneticPr fontId="6" type="noConversion"/>
  </si>
  <si>
    <t>1.本日申報開工。
2.乙種安全圍籬與三角錐連桿警示燈。
3.工程告示牌與職安告示牌。</t>
    <phoneticPr fontId="6" type="noConversion"/>
  </si>
  <si>
    <t>陰</t>
    <phoneticPr fontId="6" type="noConversion"/>
  </si>
  <si>
    <t>1.材料準備中，無進場施作。</t>
    <phoneticPr fontId="6" type="noConversion"/>
  </si>
  <si>
    <t>1.本日雨天，無進場施作。</t>
    <phoneticPr fontId="6" type="noConversion"/>
  </si>
  <si>
    <t>1.材料準備中，無進場施作。</t>
    <phoneticPr fontId="6" type="noConversion"/>
  </si>
  <si>
    <t>1.新作東側排水溝。</t>
    <phoneticPr fontId="6" type="noConversion"/>
  </si>
  <si>
    <t>1.新作西側排水溝。
2.新作東側排水溝。</t>
    <phoneticPr fontId="6" type="noConversion"/>
  </si>
  <si>
    <t>1.新作西側排水溝。</t>
  </si>
  <si>
    <t>1.新作西側排水溝。
2.新作陰井。</t>
    <phoneticPr fontId="6" type="noConversion"/>
  </si>
  <si>
    <t>1.新作東側排水溝。
2.移植水溝施工位置喬木。</t>
    <phoneticPr fontId="6" type="noConversion"/>
  </si>
  <si>
    <t>1.工程督導。
2.材料準備中，無進場施作。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</si>
</sst>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76" formatCode="_(* #,##0_);_(* \(#,##0\);_(* &quot;-&quot;_);_(@_)"/>
    <numFmt numFmtId="177" formatCode="_(* #,##0.00_);_(* \(#,##0.00\);_(* &quot;-&quot;??_);_(@_)"/>
    <numFmt numFmtId="178" formatCode="m&quot;月&quot;d&quot;日&quot;"/>
    <numFmt numFmtId="179" formatCode="0_);[Red]\(0\)"/>
    <numFmt numFmtId="180" formatCode="[$-404]e&quot;年&quot;m&quot;月&quot;d&quot;日&quot;;@"/>
    <numFmt numFmtId="181" formatCode="_-* #,##0.000_-;\-* #,##0.000_-;_-* &quot;-&quot;_-;_-@_-"/>
    <numFmt numFmtId="182" formatCode="[$-404]aaaa;@"/>
    <numFmt numFmtId="183" formatCode="0\ \ &quot;工作天&quot;"/>
    <numFmt numFmtId="184" formatCode="0.00;\-0.00;"/>
    <numFmt numFmtId="185" formatCode="\ #,##0.00;\ #,##0.00;\ \-\ "/>
    <numFmt numFmtId="186" formatCode="0.00_);[Red]\(0.00\)"/>
    <numFmt numFmtId="187" formatCode="[$-404]e&quot;年&quot;m&quot;月&quot;d&quot;日&quot;ddd"/>
    <numFmt numFmtId="188" formatCode="0\ \ &quot;日曆天&quot;"/>
    <numFmt numFmtId="189" formatCode="0\ \ &quot;次&quot;"/>
    <numFmt numFmtId="190" formatCode="0.00%;;0.00%"/>
    <numFmt numFmtId="191" formatCode="#,###,000.00"/>
    <numFmt numFmtId="192" formatCode="0;\-0;&quot;&quot;"/>
    <numFmt numFmtId="193" formatCode="\ #,##0.00\ "/>
    <numFmt numFmtId="194" formatCode="0\ &quot;日曆天&quot;"/>
    <numFmt numFmtId="195" formatCode="\ #,##0.00;\ #,##0.00;&quot;&quot;"/>
  </numFmts>
  <fonts count="33" x14ac:knownFonts="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name val="標楷體"/>
      <family val="4"/>
      <charset val="136"/>
    </font>
    <font>
      <sz val="9"/>
      <name val="細明體"/>
      <family val="3"/>
      <charset val="136"/>
    </font>
    <font>
      <sz val="12"/>
      <name val="Times New Roman"/>
      <family val="1"/>
    </font>
    <font>
      <sz val="9"/>
      <name val="新細明體"/>
      <family val="1"/>
      <charset val="136"/>
    </font>
    <font>
      <b/>
      <sz val="12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12"/>
      <name val="新細明體"/>
      <family val="1"/>
      <charset val="136"/>
    </font>
    <font>
      <sz val="12"/>
      <color rgb="FF7030A0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rgb="FF010000"/>
      <name val="新細明體"/>
      <family val="1"/>
      <charset val="136"/>
    </font>
    <font>
      <sz val="12"/>
      <color rgb="FF000000"/>
      <name val="標楷體"/>
      <family val="4"/>
    </font>
    <font>
      <sz val="9"/>
      <name val="新細明體"/>
      <family val="2"/>
      <charset val="136"/>
      <scheme val="minor"/>
    </font>
    <font>
      <sz val="12"/>
      <color indexed="33"/>
      <name val="新細明體"/>
      <family val="1"/>
      <charset val="136"/>
    </font>
    <font>
      <b/>
      <sz val="16"/>
      <name val="細明體"/>
      <family val="3"/>
      <charset val="136"/>
    </font>
    <font>
      <sz val="10"/>
      <name val="細明體"/>
      <family val="3"/>
      <charset val="136"/>
    </font>
    <font>
      <sz val="8"/>
      <name val="細明體"/>
      <family val="3"/>
      <charset val="136"/>
    </font>
    <font>
      <sz val="8"/>
      <color indexed="14"/>
      <name val="細明體"/>
      <family val="3"/>
      <charset val="136"/>
    </font>
    <font>
      <sz val="10"/>
      <color indexed="10"/>
      <name val="細明體"/>
      <family val="3"/>
      <charset val="136"/>
    </font>
    <font>
      <sz val="12"/>
      <color theme="0"/>
      <name val="標楷體"/>
      <family val="4"/>
      <charset val="136"/>
    </font>
    <font>
      <b/>
      <u val="double"/>
      <sz val="30"/>
      <color indexed="8"/>
      <name val="標楷體"/>
      <family val="4"/>
      <charset val="136"/>
    </font>
    <font>
      <sz val="14"/>
      <color indexed="8"/>
      <name val="標楷體"/>
      <family val="4"/>
      <charset val="136"/>
    </font>
    <font>
      <b/>
      <sz val="14"/>
      <color indexed="8"/>
      <name val="標楷體"/>
      <family val="4"/>
      <charset val="136"/>
    </font>
    <font>
      <sz val="11"/>
      <color indexed="8"/>
      <name val="標楷體"/>
      <family val="4"/>
      <charset val="136"/>
    </font>
    <font>
      <b/>
      <u val="double"/>
      <sz val="12"/>
      <color indexed="12"/>
      <name val="標楷體"/>
      <family val="4"/>
      <charset val="136"/>
    </font>
    <font>
      <b/>
      <u val="double"/>
      <sz val="12"/>
      <color indexed="10"/>
      <name val="標楷體"/>
      <family val="4"/>
      <charset val="136"/>
    </font>
    <font>
      <sz val="16"/>
      <color indexed="8"/>
      <name val="標楷體"/>
      <family val="4"/>
      <charset val="136"/>
    </font>
    <font>
      <sz val="16"/>
      <name val="標楷體"/>
      <family val="4"/>
      <charset val="136"/>
    </font>
    <font>
      <sz val="8"/>
      <name val="標楷體"/>
      <family val="4"/>
      <charset val="136"/>
    </font>
  </fonts>
  <fills count="2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3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7">
    <xf numFmtId="0" fontId="0" fillId="0" borderId="0"/>
    <xf numFmtId="0" fontId="5" fillId="0" borderId="0"/>
    <xf numFmtId="177" fontId="2" fillId="0" borderId="0" applyFont="0" applyFill="0" applyBorder="0" applyAlignment="0" applyProtection="0"/>
    <xf numFmtId="0" fontId="11" fillId="0" borderId="0">
      <alignment vertical="center"/>
    </xf>
    <xf numFmtId="0" fontId="2" fillId="0" borderId="0"/>
    <xf numFmtId="9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/>
  </cellStyleXfs>
  <cellXfs count="297">
    <xf numFmtId="0" fontId="0" fillId="0" borderId="0" xfId="0"/>
    <xf numFmtId="0" fontId="0" fillId="2" borderId="1" xfId="0" applyFill="1" applyBorder="1"/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distributed" vertical="center"/>
    </xf>
    <xf numFmtId="4" fontId="3" fillId="2" borderId="1" xfId="0" applyNumberFormat="1" applyFont="1" applyFill="1" applyBorder="1" applyAlignment="1">
      <alignment horizontal="distributed" vertical="center"/>
    </xf>
    <xf numFmtId="0" fontId="0" fillId="0" borderId="1" xfId="0" applyBorder="1"/>
    <xf numFmtId="0" fontId="3" fillId="0" borderId="3" xfId="0" applyFont="1" applyBorder="1" applyAlignment="1">
      <alignment horizontal="center"/>
    </xf>
    <xf numFmtId="179" fontId="0" fillId="0" borderId="0" xfId="0" applyNumberFormat="1" applyAlignment="1">
      <alignment horizontal="center"/>
    </xf>
    <xf numFmtId="10" fontId="0" fillId="0" borderId="0" xfId="0" applyNumberFormat="1"/>
    <xf numFmtId="180" fontId="0" fillId="4" borderId="1" xfId="0" applyNumberFormat="1" applyFill="1" applyBorder="1"/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0" fillId="0" borderId="2" xfId="0" applyBorder="1"/>
    <xf numFmtId="0" fontId="0" fillId="0" borderId="5" xfId="0" applyBorder="1"/>
    <xf numFmtId="0" fontId="0" fillId="5" borderId="1" xfId="0" applyFill="1" applyBorder="1"/>
    <xf numFmtId="0" fontId="8" fillId="5" borderId="1" xfId="0" applyFont="1" applyFill="1" applyBorder="1"/>
    <xf numFmtId="0" fontId="0" fillId="0" borderId="1" xfId="0" applyBorder="1" applyAlignment="1">
      <alignment wrapText="1"/>
    </xf>
    <xf numFmtId="0" fontId="9" fillId="0" borderId="0" xfId="0" applyFont="1"/>
    <xf numFmtId="10" fontId="10" fillId="0" borderId="0" xfId="0" applyNumberFormat="1" applyFont="1"/>
    <xf numFmtId="0" fontId="3" fillId="0" borderId="7" xfId="0" quotePrefix="1" applyFont="1" applyBorder="1" applyAlignment="1">
      <alignment horizontal="center" vertical="center"/>
    </xf>
    <xf numFmtId="179" fontId="3" fillId="0" borderId="6" xfId="0" applyNumberFormat="1" applyFont="1" applyBorder="1" applyAlignment="1">
      <alignment horizontal="right" vertical="center"/>
    </xf>
    <xf numFmtId="0" fontId="3" fillId="0" borderId="6" xfId="1" applyFont="1" applyBorder="1" applyAlignment="1">
      <alignment horizontal="left" vertical="center"/>
    </xf>
    <xf numFmtId="180" fontId="0" fillId="0" borderId="0" xfId="0" applyNumberFormat="1"/>
    <xf numFmtId="14" fontId="0" fillId="0" borderId="0" xfId="0" applyNumberFormat="1"/>
    <xf numFmtId="0" fontId="13" fillId="0" borderId="0" xfId="0" applyFont="1"/>
    <xf numFmtId="0" fontId="13" fillId="0" borderId="1" xfId="0" applyFont="1" applyBorder="1"/>
    <xf numFmtId="182" fontId="14" fillId="0" borderId="0" xfId="0" applyNumberFormat="1" applyFont="1" applyAlignment="1">
      <alignment horizontal="left"/>
    </xf>
    <xf numFmtId="180" fontId="14" fillId="0" borderId="0" xfId="0" applyNumberFormat="1" applyFont="1"/>
    <xf numFmtId="183" fontId="14" fillId="0" borderId="0" xfId="0" applyNumberFormat="1" applyFont="1"/>
    <xf numFmtId="180" fontId="0" fillId="7" borderId="8" xfId="0" applyNumberFormat="1" applyFill="1" applyBorder="1"/>
    <xf numFmtId="183" fontId="12" fillId="0" borderId="0" xfId="0" applyNumberFormat="1" applyFont="1"/>
    <xf numFmtId="0" fontId="14" fillId="0" borderId="0" xfId="0" applyFont="1"/>
    <xf numFmtId="182" fontId="12" fillId="0" borderId="0" xfId="0" applyNumberFormat="1" applyFont="1" applyAlignment="1">
      <alignment horizontal="left"/>
    </xf>
    <xf numFmtId="180" fontId="0" fillId="10" borderId="8" xfId="0" applyNumberFormat="1" applyFill="1" applyBorder="1"/>
    <xf numFmtId="183" fontId="0" fillId="10" borderId="8" xfId="0" applyNumberFormat="1" applyFill="1" applyBorder="1"/>
    <xf numFmtId="3" fontId="0" fillId="0" borderId="0" xfId="0" applyNumberFormat="1"/>
    <xf numFmtId="10" fontId="3" fillId="4" borderId="9" xfId="0" applyNumberFormat="1" applyFont="1" applyFill="1" applyBorder="1"/>
    <xf numFmtId="10" fontId="3" fillId="0" borderId="9" xfId="0" applyNumberFormat="1" applyFont="1" applyBorder="1"/>
    <xf numFmtId="0" fontId="3" fillId="11" borderId="8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10" fillId="0" borderId="0" xfId="0" applyFont="1"/>
    <xf numFmtId="184" fontId="0" fillId="0" borderId="0" xfId="0" applyNumberFormat="1"/>
    <xf numFmtId="0" fontId="3" fillId="6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185" fontId="0" fillId="0" borderId="0" xfId="0" applyNumberFormat="1"/>
    <xf numFmtId="0" fontId="0" fillId="6" borderId="11" xfId="0" applyFill="1" applyBorder="1"/>
    <xf numFmtId="0" fontId="17" fillId="0" borderId="0" xfId="0" applyFont="1"/>
    <xf numFmtId="179" fontId="17" fillId="0" borderId="0" xfId="0" applyNumberFormat="1" applyFont="1"/>
    <xf numFmtId="0" fontId="0" fillId="0" borderId="11" xfId="0" applyBorder="1"/>
    <xf numFmtId="0" fontId="0" fillId="6" borderId="11" xfId="0" applyFill="1" applyBorder="1" applyAlignment="1">
      <alignment horizontal="right"/>
    </xf>
    <xf numFmtId="0" fontId="17" fillId="0" borderId="0" xfId="0" applyFont="1" applyAlignment="1">
      <alignment horizontal="right"/>
    </xf>
    <xf numFmtId="2" fontId="17" fillId="0" borderId="0" xfId="0" applyNumberFormat="1" applyFont="1"/>
    <xf numFmtId="177" fontId="0" fillId="0" borderId="0" xfId="2" applyFont="1" applyBorder="1" applyAlignment="1"/>
    <xf numFmtId="0" fontId="3" fillId="6" borderId="15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86" fontId="0" fillId="0" borderId="0" xfId="0" applyNumberFormat="1"/>
    <xf numFmtId="177" fontId="17" fillId="0" borderId="0" xfId="0" applyNumberFormat="1" applyFont="1"/>
    <xf numFmtId="0" fontId="3" fillId="6" borderId="16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10" xfId="0" applyBorder="1" applyProtection="1">
      <protection locked="0"/>
    </xf>
    <xf numFmtId="0" fontId="19" fillId="0" borderId="20" xfId="0" applyFont="1" applyBorder="1" applyAlignment="1" applyProtection="1">
      <alignment horizontal="centerContinuous" wrapText="1" shrinkToFit="1"/>
      <protection locked="0"/>
    </xf>
    <xf numFmtId="49" fontId="19" fillId="0" borderId="19" xfId="0" applyNumberFormat="1" applyFont="1" applyBorder="1" applyAlignment="1" applyProtection="1">
      <alignment horizontal="center" shrinkToFit="1"/>
      <protection locked="0"/>
    </xf>
    <xf numFmtId="0" fontId="19" fillId="0" borderId="19" xfId="0" applyFont="1" applyBorder="1" applyAlignment="1" applyProtection="1">
      <alignment horizontal="left" indent="1" shrinkToFit="1"/>
      <protection locked="0"/>
    </xf>
    <xf numFmtId="0" fontId="19" fillId="0" borderId="19" xfId="0" applyFont="1" applyBorder="1" applyAlignment="1" applyProtection="1">
      <alignment horizontal="center" shrinkToFit="1"/>
      <protection locked="0"/>
    </xf>
    <xf numFmtId="181" fontId="20" fillId="0" borderId="19" xfId="0" applyNumberFormat="1" applyFont="1" applyBorder="1" applyAlignment="1" applyProtection="1">
      <alignment shrinkToFit="1"/>
      <protection locked="0"/>
    </xf>
    <xf numFmtId="176" fontId="20" fillId="0" borderId="19" xfId="0" applyNumberFormat="1" applyFont="1" applyBorder="1" applyAlignment="1" applyProtection="1">
      <alignment shrinkToFit="1"/>
      <protection locked="0"/>
    </xf>
    <xf numFmtId="0" fontId="20" fillId="0" borderId="19" xfId="0" applyFont="1" applyBorder="1" applyAlignment="1" applyProtection="1">
      <alignment horizontal="left" shrinkToFit="1"/>
      <protection locked="0"/>
    </xf>
    <xf numFmtId="0" fontId="19" fillId="0" borderId="20" xfId="0" applyFont="1" applyBorder="1" applyAlignment="1" applyProtection="1">
      <alignment horizontal="center" shrinkToFit="1"/>
      <protection locked="0"/>
    </xf>
    <xf numFmtId="0" fontId="19" fillId="0" borderId="20" xfId="0" applyFont="1" applyBorder="1" applyAlignment="1" applyProtection="1">
      <alignment horizontal="left" indent="1" shrinkToFit="1"/>
      <protection locked="0"/>
    </xf>
    <xf numFmtId="181" fontId="20" fillId="0" borderId="20" xfId="0" applyNumberFormat="1" applyFont="1" applyBorder="1" applyAlignment="1" applyProtection="1">
      <alignment shrinkToFit="1"/>
      <protection locked="0"/>
    </xf>
    <xf numFmtId="176" fontId="20" fillId="0" borderId="20" xfId="0" applyNumberFormat="1" applyFont="1" applyBorder="1" applyAlignment="1" applyProtection="1">
      <alignment shrinkToFit="1"/>
      <protection locked="0"/>
    </xf>
    <xf numFmtId="0" fontId="20" fillId="0" borderId="20" xfId="0" applyFont="1" applyBorder="1" applyAlignment="1" applyProtection="1">
      <alignment horizontal="left" shrinkToFit="1"/>
      <protection locked="0"/>
    </xf>
    <xf numFmtId="0" fontId="21" fillId="0" borderId="19" xfId="0" applyFont="1" applyBorder="1" applyAlignment="1" applyProtection="1">
      <alignment horizontal="left" shrinkToFit="1"/>
      <protection locked="0"/>
    </xf>
    <xf numFmtId="0" fontId="22" fillId="0" borderId="19" xfId="0" applyFont="1" applyBorder="1" applyAlignment="1" applyProtection="1">
      <alignment horizontal="left" indent="1" shrinkToFit="1"/>
      <protection locked="0"/>
    </xf>
    <xf numFmtId="0" fontId="12" fillId="0" borderId="0" xfId="0" applyFont="1" applyAlignment="1">
      <alignment horizontal="left"/>
    </xf>
    <xf numFmtId="0" fontId="0" fillId="0" borderId="0" xfId="0" applyAlignment="1">
      <alignment horizontal="center" vertical="center" wrapText="1"/>
    </xf>
    <xf numFmtId="0" fontId="0" fillId="15" borderId="0" xfId="0" applyFill="1" applyAlignment="1" applyProtection="1">
      <alignment horizontal="center"/>
      <protection locked="0"/>
    </xf>
    <xf numFmtId="0" fontId="25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3" fillId="0" borderId="0" xfId="0" applyFont="1"/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182" fontId="25" fillId="0" borderId="0" xfId="0" applyNumberFormat="1" applyFont="1" applyAlignment="1">
      <alignment horizontal="left"/>
    </xf>
    <xf numFmtId="14" fontId="28" fillId="0" borderId="0" xfId="0" applyNumberFormat="1" applyFont="1"/>
    <xf numFmtId="14" fontId="29" fillId="0" borderId="0" xfId="0" applyNumberFormat="1" applyFont="1"/>
    <xf numFmtId="0" fontId="32" fillId="0" borderId="0" xfId="0" applyFont="1" applyAlignment="1">
      <alignment horizontal="left" vertical="center"/>
    </xf>
    <xf numFmtId="0" fontId="32" fillId="0" borderId="0" xfId="0" applyFont="1"/>
    <xf numFmtId="180" fontId="0" fillId="7" borderId="26" xfId="0" applyNumberFormat="1" applyFill="1" applyBorder="1"/>
    <xf numFmtId="3" fontId="3" fillId="3" borderId="26" xfId="2" applyNumberFormat="1" applyFont="1" applyFill="1" applyBorder="1" applyAlignment="1">
      <alignment horizontal="right" vertical="center"/>
    </xf>
    <xf numFmtId="0" fontId="3" fillId="8" borderId="26" xfId="0" applyFont="1" applyFill="1" applyBorder="1" applyAlignment="1">
      <alignment horizontal="center" vertical="center"/>
    </xf>
    <xf numFmtId="0" fontId="3" fillId="8" borderId="26" xfId="0" applyFont="1" applyFill="1" applyBorder="1" applyAlignment="1">
      <alignment horizontal="distributed" vertical="center"/>
    </xf>
    <xf numFmtId="4" fontId="3" fillId="8" borderId="26" xfId="0" applyNumberFormat="1" applyFont="1" applyFill="1" applyBorder="1" applyAlignment="1">
      <alignment horizontal="distributed" vertical="center"/>
    </xf>
    <xf numFmtId="4" fontId="3" fillId="8" borderId="26" xfId="2" applyNumberFormat="1" applyFont="1" applyFill="1" applyBorder="1" applyAlignment="1">
      <alignment horizontal="distributed" vertical="center"/>
    </xf>
    <xf numFmtId="0" fontId="3" fillId="0" borderId="26" xfId="0" applyFont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distributed" vertical="center"/>
    </xf>
    <xf numFmtId="4" fontId="3" fillId="2" borderId="26" xfId="0" applyNumberFormat="1" applyFont="1" applyFill="1" applyBorder="1" applyAlignment="1">
      <alignment horizontal="distributed" vertical="center"/>
    </xf>
    <xf numFmtId="0" fontId="3" fillId="0" borderId="26" xfId="0" applyFont="1" applyBorder="1" applyAlignment="1">
      <alignment horizontal="left" vertical="center"/>
    </xf>
    <xf numFmtId="3" fontId="3" fillId="0" borderId="26" xfId="0" applyNumberFormat="1" applyFont="1" applyBorder="1" applyAlignment="1">
      <alignment horizontal="right" vertical="center"/>
    </xf>
    <xf numFmtId="0" fontId="0" fillId="0" borderId="26" xfId="0" applyBorder="1" applyAlignment="1">
      <alignment horizontal="center" vertical="center"/>
    </xf>
    <xf numFmtId="0" fontId="0" fillId="4" borderId="26" xfId="0" applyFill="1" applyBorder="1" applyAlignment="1">
      <alignment horizontal="left" vertical="center" indent="1" shrinkToFit="1"/>
    </xf>
    <xf numFmtId="0" fontId="0" fillId="4" borderId="26" xfId="0" applyFill="1" applyBorder="1" applyAlignment="1">
      <alignment horizontal="left" vertical="center" shrinkToFit="1"/>
    </xf>
    <xf numFmtId="181" fontId="0" fillId="7" borderId="26" xfId="0" applyNumberFormat="1" applyFill="1" applyBorder="1" applyAlignment="1">
      <alignment horizontal="center" vertical="center"/>
    </xf>
    <xf numFmtId="184" fontId="0" fillId="7" borderId="26" xfId="0" applyNumberFormat="1" applyFill="1" applyBorder="1" applyAlignment="1">
      <alignment horizontal="right" vertical="center"/>
    </xf>
    <xf numFmtId="184" fontId="0" fillId="0" borderId="26" xfId="0" applyNumberFormat="1" applyBorder="1" applyAlignment="1">
      <alignment horizontal="right" vertical="center"/>
    </xf>
    <xf numFmtId="0" fontId="3" fillId="6" borderId="29" xfId="0" applyFont="1" applyFill="1" applyBorder="1" applyAlignment="1">
      <alignment horizontal="center"/>
    </xf>
    <xf numFmtId="0" fontId="3" fillId="9" borderId="29" xfId="0" applyFont="1" applyFill="1" applyBorder="1" applyAlignment="1">
      <alignment horizontal="center"/>
    </xf>
    <xf numFmtId="192" fontId="3" fillId="0" borderId="31" xfId="0" applyNumberFormat="1" applyFont="1" applyBorder="1" applyAlignment="1">
      <alignment horizontal="center"/>
    </xf>
    <xf numFmtId="0" fontId="25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31" xfId="0" applyFont="1" applyBorder="1" applyAlignment="1">
      <alignment horizontal="center" vertical="center"/>
    </xf>
    <xf numFmtId="0" fontId="0" fillId="4" borderId="31" xfId="0" applyFont="1" applyFill="1" applyBorder="1" applyAlignment="1">
      <alignment horizontal="left" vertical="center" indent="1" shrinkToFit="1"/>
    </xf>
    <xf numFmtId="0" fontId="0" fillId="8" borderId="31" xfId="0" applyFont="1" applyFill="1" applyBorder="1" applyAlignment="1">
      <alignment horizontal="center" vertical="center"/>
    </xf>
    <xf numFmtId="181" fontId="0" fillId="7" borderId="31" xfId="0" applyNumberFormat="1" applyFont="1" applyFill="1" applyBorder="1" applyAlignment="1">
      <alignment horizontal="center" vertical="center"/>
    </xf>
    <xf numFmtId="184" fontId="0" fillId="7" borderId="31" xfId="0" applyNumberFormat="1" applyFont="1" applyFill="1" applyBorder="1" applyAlignment="1">
      <alignment horizontal="right" vertical="center"/>
    </xf>
    <xf numFmtId="184" fontId="0" fillId="0" borderId="31" xfId="0" applyNumberFormat="1" applyFont="1" applyBorder="1" applyAlignment="1">
      <alignment horizontal="right" vertical="center"/>
    </xf>
    <xf numFmtId="184" fontId="0" fillId="8" borderId="31" xfId="0" applyNumberFormat="1" applyFont="1" applyFill="1" applyBorder="1" applyAlignment="1">
      <alignment horizontal="right" vertical="center"/>
    </xf>
    <xf numFmtId="184" fontId="0" fillId="8" borderId="31" xfId="2" applyNumberFormat="1" applyFont="1" applyFill="1" applyBorder="1" applyAlignment="1">
      <alignment horizontal="right" vertical="center"/>
    </xf>
    <xf numFmtId="186" fontId="17" fillId="0" borderId="0" xfId="0" applyNumberFormat="1" applyFont="1"/>
    <xf numFmtId="178" fontId="0" fillId="0" borderId="0" xfId="0" applyNumberFormat="1" applyBorder="1"/>
    <xf numFmtId="14" fontId="0" fillId="0" borderId="0" xfId="0" applyNumberFormat="1" applyBorder="1"/>
    <xf numFmtId="0" fontId="3" fillId="0" borderId="31" xfId="0" applyFont="1" applyBorder="1" applyAlignment="1">
      <alignment horizontal="center" vertical="center"/>
    </xf>
    <xf numFmtId="0" fontId="3" fillId="0" borderId="31" xfId="0" applyFont="1" applyFill="1" applyBorder="1" applyAlignment="1">
      <alignment horizontal="center" vertical="center"/>
    </xf>
    <xf numFmtId="0" fontId="3" fillId="6" borderId="31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23" fillId="12" borderId="31" xfId="0" applyFont="1" applyFill="1" applyBorder="1"/>
    <xf numFmtId="0" fontId="0" fillId="13" borderId="31" xfId="0" applyFill="1" applyBorder="1"/>
    <xf numFmtId="0" fontId="0" fillId="14" borderId="31" xfId="0" applyFill="1" applyBorder="1"/>
    <xf numFmtId="187" fontId="0" fillId="13" borderId="31" xfId="0" applyNumberFormat="1" applyFill="1" applyBorder="1"/>
    <xf numFmtId="0" fontId="23" fillId="12" borderId="31" xfId="0" applyFont="1" applyFill="1" applyBorder="1" applyAlignment="1">
      <alignment horizontal="center" vertical="center" wrapText="1"/>
    </xf>
    <xf numFmtId="0" fontId="23" fillId="12" borderId="31" xfId="0" applyFont="1" applyFill="1" applyBorder="1" applyAlignment="1">
      <alignment horizontal="center"/>
    </xf>
    <xf numFmtId="0" fontId="0" fillId="13" borderId="31" xfId="0" applyFill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3" borderId="32" xfId="0" applyFill="1" applyBorder="1"/>
    <xf numFmtId="10" fontId="0" fillId="3" borderId="32" xfId="0" applyNumberFormat="1" applyFill="1" applyBorder="1"/>
    <xf numFmtId="0" fontId="3" fillId="3" borderId="31" xfId="0" applyFont="1" applyFill="1" applyBorder="1"/>
    <xf numFmtId="187" fontId="3" fillId="13" borderId="31" xfId="0" applyNumberFormat="1" applyFont="1" applyFill="1" applyBorder="1"/>
    <xf numFmtId="0" fontId="3" fillId="0" borderId="31" xfId="0" applyFont="1" applyBorder="1"/>
    <xf numFmtId="0" fontId="3" fillId="0" borderId="31" xfId="0" applyFont="1" applyBorder="1" applyAlignment="1">
      <alignment horizontal="center"/>
    </xf>
    <xf numFmtId="0" fontId="3" fillId="13" borderId="31" xfId="0" applyFont="1" applyFill="1" applyBorder="1"/>
    <xf numFmtId="0" fontId="3" fillId="4" borderId="31" xfId="0" applyFont="1" applyFill="1" applyBorder="1"/>
    <xf numFmtId="0" fontId="3" fillId="16" borderId="31" xfId="0" applyFont="1" applyFill="1" applyBorder="1"/>
    <xf numFmtId="10" fontId="3" fillId="16" borderId="31" xfId="0" applyNumberFormat="1" applyFont="1" applyFill="1" applyBorder="1"/>
    <xf numFmtId="0" fontId="3" fillId="14" borderId="31" xfId="0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0" fontId="3" fillId="14" borderId="31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center" vertical="center" wrapText="1"/>
    </xf>
    <xf numFmtId="0" fontId="3" fillId="4" borderId="31" xfId="0" applyFont="1" applyFill="1" applyBorder="1" applyAlignment="1">
      <alignment horizontal="center" vertical="center" wrapText="1"/>
    </xf>
    <xf numFmtId="0" fontId="3" fillId="5" borderId="31" xfId="0" applyFont="1" applyFill="1" applyBorder="1" applyAlignment="1">
      <alignment horizontal="center" vertical="center" wrapText="1"/>
    </xf>
    <xf numFmtId="0" fontId="3" fillId="13" borderId="31" xfId="0" applyFont="1" applyFill="1" applyBorder="1" applyAlignment="1">
      <alignment horizontal="center" vertical="center" wrapText="1"/>
    </xf>
    <xf numFmtId="0" fontId="3" fillId="17" borderId="31" xfId="0" applyFont="1" applyFill="1" applyBorder="1" applyAlignment="1">
      <alignment vertical="center"/>
    </xf>
    <xf numFmtId="10" fontId="3" fillId="4" borderId="31" xfId="0" applyNumberFormat="1" applyFont="1" applyFill="1" applyBorder="1"/>
    <xf numFmtId="0" fontId="3" fillId="12" borderId="31" xfId="0" applyFont="1" applyFill="1" applyBorder="1" applyAlignment="1">
      <alignment horizontal="center"/>
    </xf>
    <xf numFmtId="187" fontId="3" fillId="13" borderId="31" xfId="0" applyNumberFormat="1" applyFont="1" applyFill="1" applyBorder="1" applyAlignment="1">
      <alignment horizontal="center"/>
    </xf>
    <xf numFmtId="0" fontId="25" fillId="0" borderId="31" xfId="0" applyFont="1" applyBorder="1" applyAlignment="1">
      <alignment horizontal="center"/>
    </xf>
    <xf numFmtId="58" fontId="25" fillId="0" borderId="31" xfId="0" applyNumberFormat="1" applyFont="1" applyBorder="1" applyAlignment="1">
      <alignment horizontal="center" shrinkToFit="1"/>
    </xf>
    <xf numFmtId="0" fontId="27" fillId="0" borderId="31" xfId="0" applyFont="1" applyBorder="1" applyAlignment="1">
      <alignment horizontal="left" wrapText="1"/>
    </xf>
    <xf numFmtId="191" fontId="25" fillId="0" borderId="31" xfId="0" applyNumberFormat="1" applyFont="1" applyBorder="1" applyAlignment="1">
      <alignment horizontal="left"/>
    </xf>
    <xf numFmtId="0" fontId="25" fillId="0" borderId="31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 shrinkToFit="1"/>
    </xf>
    <xf numFmtId="193" fontId="3" fillId="0" borderId="31" xfId="0" applyNumberFormat="1" applyFont="1" applyBorder="1" applyAlignment="1">
      <alignment vertical="center"/>
    </xf>
    <xf numFmtId="185" fontId="3" fillId="0" borderId="31" xfId="0" applyNumberFormat="1" applyFont="1" applyBorder="1" applyAlignment="1">
      <alignment vertical="center"/>
    </xf>
    <xf numFmtId="194" fontId="25" fillId="0" borderId="31" xfId="0" applyNumberFormat="1" applyFont="1" applyBorder="1" applyAlignment="1">
      <alignment horizontal="center"/>
    </xf>
    <xf numFmtId="195" fontId="3" fillId="0" borderId="31" xfId="0" applyNumberFormat="1" applyFont="1" applyBorder="1"/>
    <xf numFmtId="192" fontId="3" fillId="0" borderId="34" xfId="0" applyNumberFormat="1" applyFont="1" applyBorder="1" applyAlignment="1">
      <alignment horizontal="center"/>
    </xf>
    <xf numFmtId="192" fontId="3" fillId="0" borderId="34" xfId="0" applyNumberFormat="1" applyFont="1" applyBorder="1" applyAlignment="1">
      <alignment horizontal="center" wrapText="1"/>
    </xf>
    <xf numFmtId="0" fontId="3" fillId="5" borderId="31" xfId="0" applyFont="1" applyFill="1" applyBorder="1" applyAlignment="1">
      <alignment horizontal="center" shrinkToFit="1"/>
    </xf>
    <xf numFmtId="0" fontId="3" fillId="0" borderId="34" xfId="0" applyNumberFormat="1" applyFont="1" applyBorder="1" applyAlignment="1">
      <alignment horizontal="center"/>
    </xf>
    <xf numFmtId="0" fontId="3" fillId="0" borderId="31" xfId="0" applyFont="1" applyBorder="1" applyAlignment="1">
      <alignment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25" fillId="0" borderId="31" xfId="0" applyFont="1" applyBorder="1" applyAlignment="1">
      <alignment horizontal="center"/>
    </xf>
    <xf numFmtId="58" fontId="25" fillId="0" borderId="31" xfId="0" applyNumberFormat="1" applyFont="1" applyBorder="1" applyAlignment="1">
      <alignment horizontal="center"/>
    </xf>
    <xf numFmtId="10" fontId="25" fillId="0" borderId="31" xfId="0" applyNumberFormat="1" applyFont="1" applyBorder="1" applyAlignment="1">
      <alignment horizontal="center"/>
    </xf>
    <xf numFmtId="190" fontId="25" fillId="0" borderId="31" xfId="0" applyNumberFormat="1" applyFont="1" applyBorder="1" applyAlignment="1">
      <alignment horizontal="center"/>
    </xf>
    <xf numFmtId="0" fontId="24" fillId="0" borderId="0" xfId="0" applyFont="1" applyAlignment="1">
      <alignment horizontal="center"/>
    </xf>
    <xf numFmtId="0" fontId="25" fillId="0" borderId="0" xfId="0" applyFont="1" applyAlignment="1">
      <alignment horizontal="left"/>
    </xf>
    <xf numFmtId="58" fontId="25" fillId="0" borderId="0" xfId="0" applyNumberFormat="1" applyFont="1" applyAlignment="1">
      <alignment horizontal="left"/>
    </xf>
    <xf numFmtId="0" fontId="25" fillId="0" borderId="31" xfId="0" applyFont="1" applyBorder="1" applyAlignment="1">
      <alignment horizontal="left"/>
    </xf>
    <xf numFmtId="194" fontId="25" fillId="0" borderId="14" xfId="0" applyNumberFormat="1" applyFont="1" applyBorder="1" applyAlignment="1">
      <alignment horizontal="center"/>
    </xf>
    <xf numFmtId="194" fontId="25" fillId="0" borderId="18" xfId="0" applyNumberFormat="1" applyFont="1" applyBorder="1" applyAlignment="1">
      <alignment horizontal="center"/>
    </xf>
    <xf numFmtId="192" fontId="25" fillId="0" borderId="31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vertical="center" wrapText="1"/>
    </xf>
    <xf numFmtId="0" fontId="3" fillId="0" borderId="17" xfId="0" applyFont="1" applyBorder="1" applyAlignment="1">
      <alignment vertical="center" wrapText="1"/>
    </xf>
    <xf numFmtId="0" fontId="3" fillId="0" borderId="18" xfId="0" applyFont="1" applyBorder="1" applyAlignment="1">
      <alignment vertical="center" wrapText="1"/>
    </xf>
    <xf numFmtId="0" fontId="3" fillId="0" borderId="14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30" fillId="0" borderId="31" xfId="0" applyFont="1" applyBorder="1" applyAlignment="1">
      <alignment horizontal="left"/>
    </xf>
    <xf numFmtId="0" fontId="25" fillId="0" borderId="14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3" fillId="0" borderId="14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3" fillId="0" borderId="17" xfId="0" applyFont="1" applyBorder="1" applyAlignment="1">
      <alignment horizontal="left" vertical="center" wrapText="1"/>
    </xf>
    <xf numFmtId="193" fontId="3" fillId="0" borderId="17" xfId="0" applyNumberFormat="1" applyFont="1" applyBorder="1" applyAlignment="1">
      <alignment horizontal="left" vertical="center" wrapText="1"/>
    </xf>
    <xf numFmtId="185" fontId="3" fillId="0" borderId="17" xfId="0" applyNumberFormat="1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 wrapText="1"/>
    </xf>
    <xf numFmtId="0" fontId="31" fillId="0" borderId="33" xfId="0" applyFont="1" applyBorder="1" applyAlignment="1">
      <alignment horizontal="left"/>
    </xf>
    <xf numFmtId="0" fontId="3" fillId="0" borderId="2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192" fontId="3" fillId="0" borderId="2" xfId="0" applyNumberFormat="1" applyFont="1" applyBorder="1" applyAlignment="1"/>
    <xf numFmtId="0" fontId="3" fillId="0" borderId="17" xfId="0" applyFont="1" applyBorder="1" applyAlignment="1"/>
    <xf numFmtId="0" fontId="3" fillId="0" borderId="18" xfId="0" applyFont="1" applyBorder="1" applyAlignment="1"/>
    <xf numFmtId="0" fontId="3" fillId="0" borderId="2" xfId="0" applyFont="1" applyBorder="1" applyAlignment="1"/>
    <xf numFmtId="0" fontId="31" fillId="0" borderId="2" xfId="0" applyFont="1" applyBorder="1" applyAlignment="1">
      <alignment horizontal="left"/>
    </xf>
    <xf numFmtId="0" fontId="31" fillId="0" borderId="17" xfId="0" applyFont="1" applyBorder="1" applyAlignment="1">
      <alignment horizontal="left"/>
    </xf>
    <xf numFmtId="0" fontId="31" fillId="0" borderId="18" xfId="0" applyFont="1" applyBorder="1" applyAlignment="1">
      <alignment horizontal="left"/>
    </xf>
    <xf numFmtId="0" fontId="3" fillId="0" borderId="31" xfId="0" applyFont="1" applyBorder="1" applyAlignment="1">
      <alignment vertical="center" wrapText="1"/>
    </xf>
    <xf numFmtId="0" fontId="3" fillId="0" borderId="31" xfId="0" applyFont="1" applyBorder="1" applyAlignment="1">
      <alignment vertical="center"/>
    </xf>
    <xf numFmtId="0" fontId="3" fillId="0" borderId="34" xfId="0" applyNumberFormat="1" applyFont="1" applyBorder="1" applyAlignment="1">
      <alignment horizontal="center"/>
    </xf>
    <xf numFmtId="192" fontId="3" fillId="0" borderId="34" xfId="0" applyNumberFormat="1" applyFont="1" applyBorder="1" applyAlignment="1">
      <alignment horizontal="center"/>
    </xf>
    <xf numFmtId="192" fontId="3" fillId="0" borderId="34" xfId="0" applyNumberFormat="1" applyFont="1" applyBorder="1" applyAlignment="1">
      <alignment horizontal="center" wrapText="1"/>
    </xf>
    <xf numFmtId="192" fontId="3" fillId="0" borderId="22" xfId="0" applyNumberFormat="1" applyFont="1" applyBorder="1" applyAlignment="1">
      <alignment horizontal="left" vertical="top" wrapText="1"/>
    </xf>
    <xf numFmtId="192" fontId="3" fillId="0" borderId="21" xfId="0" applyNumberFormat="1" applyFont="1" applyBorder="1" applyAlignment="1">
      <alignment horizontal="left" vertical="top" wrapText="1"/>
    </xf>
    <xf numFmtId="192" fontId="3" fillId="0" borderId="24" xfId="0" applyNumberFormat="1" applyFont="1" applyBorder="1" applyAlignment="1">
      <alignment horizontal="left" vertical="top" wrapText="1"/>
    </xf>
    <xf numFmtId="192" fontId="3" fillId="0" borderId="27" xfId="0" applyNumberFormat="1" applyFont="1" applyBorder="1" applyAlignment="1">
      <alignment horizontal="left" vertical="top" wrapText="1"/>
    </xf>
    <xf numFmtId="192" fontId="3" fillId="0" borderId="10" xfId="0" applyNumberFormat="1" applyFont="1" applyBorder="1" applyAlignment="1">
      <alignment horizontal="left" vertical="top" wrapText="1"/>
    </xf>
    <xf numFmtId="192" fontId="3" fillId="0" borderId="28" xfId="0" applyNumberFormat="1" applyFont="1" applyBorder="1" applyAlignment="1">
      <alignment horizontal="left" vertical="top" wrapText="1"/>
    </xf>
    <xf numFmtId="192" fontId="3" fillId="0" borderId="22" xfId="0" applyNumberFormat="1" applyFont="1" applyBorder="1" applyAlignment="1">
      <alignment horizontal="left"/>
    </xf>
    <xf numFmtId="192" fontId="3" fillId="0" borderId="21" xfId="0" applyNumberFormat="1" applyFont="1" applyBorder="1" applyAlignment="1">
      <alignment horizontal="left"/>
    </xf>
    <xf numFmtId="192" fontId="3" fillId="0" borderId="24" xfId="0" applyNumberFormat="1" applyFont="1" applyBorder="1" applyAlignment="1">
      <alignment horizontal="left"/>
    </xf>
    <xf numFmtId="0" fontId="32" fillId="0" borderId="0" xfId="0" applyFont="1" applyAlignment="1">
      <alignment horizontal="left" vertical="center" wrapText="1"/>
    </xf>
    <xf numFmtId="0" fontId="0" fillId="0" borderId="17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192" fontId="3" fillId="0" borderId="27" xfId="0" applyNumberFormat="1" applyFont="1" applyBorder="1" applyAlignment="1">
      <alignment horizontal="left" vertical="center"/>
    </xf>
    <xf numFmtId="192" fontId="3" fillId="0" borderId="10" xfId="0" applyNumberFormat="1" applyFont="1" applyBorder="1" applyAlignment="1">
      <alignment horizontal="left" vertical="center"/>
    </xf>
    <xf numFmtId="192" fontId="3" fillId="0" borderId="28" xfId="0" applyNumberFormat="1" applyFont="1" applyBorder="1" applyAlignment="1">
      <alignment horizontal="left" vertical="center"/>
    </xf>
    <xf numFmtId="0" fontId="3" fillId="0" borderId="31" xfId="0" applyFont="1" applyBorder="1" applyAlignment="1"/>
    <xf numFmtId="0" fontId="32" fillId="0" borderId="21" xfId="0" applyFont="1" applyBorder="1" applyAlignment="1">
      <alignment horizontal="left" vertical="center"/>
    </xf>
    <xf numFmtId="192" fontId="3" fillId="0" borderId="31" xfId="0" applyNumberFormat="1" applyFont="1" applyBorder="1" applyAlignment="1">
      <alignment horizontal="left"/>
    </xf>
    <xf numFmtId="192" fontId="3" fillId="0" borderId="23" xfId="0" applyNumberFormat="1" applyFont="1" applyBorder="1" applyAlignment="1">
      <alignment horizontal="left" vertical="center"/>
    </xf>
    <xf numFmtId="192" fontId="3" fillId="0" borderId="0" xfId="0" applyNumberFormat="1" applyFont="1" applyBorder="1" applyAlignment="1">
      <alignment horizontal="left" vertical="center"/>
    </xf>
    <xf numFmtId="192" fontId="3" fillId="0" borderId="25" xfId="0" applyNumberFormat="1" applyFont="1" applyBorder="1" applyAlignment="1">
      <alignment horizontal="left" vertical="center"/>
    </xf>
    <xf numFmtId="192" fontId="3" fillId="0" borderId="23" xfId="0" applyNumberFormat="1" applyFont="1" applyBorder="1" applyAlignment="1">
      <alignment horizontal="left"/>
    </xf>
    <xf numFmtId="192" fontId="3" fillId="0" borderId="0" xfId="0" applyNumberFormat="1" applyFont="1" applyBorder="1" applyAlignment="1">
      <alignment horizontal="left"/>
    </xf>
    <xf numFmtId="192" fontId="3" fillId="0" borderId="25" xfId="0" applyNumberFormat="1" applyFont="1" applyBorder="1" applyAlignment="1">
      <alignment horizontal="left"/>
    </xf>
    <xf numFmtId="192" fontId="3" fillId="0" borderId="27" xfId="0" applyNumberFormat="1" applyFont="1" applyBorder="1" applyAlignment="1">
      <alignment horizontal="left"/>
    </xf>
    <xf numFmtId="192" fontId="3" fillId="0" borderId="10" xfId="0" applyNumberFormat="1" applyFont="1" applyBorder="1" applyAlignment="1">
      <alignment horizontal="left"/>
    </xf>
    <xf numFmtId="192" fontId="3" fillId="0" borderId="28" xfId="0" applyNumberFormat="1" applyFont="1" applyBorder="1" applyAlignment="1">
      <alignment horizontal="left"/>
    </xf>
    <xf numFmtId="188" fontId="25" fillId="0" borderId="31" xfId="0" applyNumberFormat="1" applyFont="1" applyBorder="1" applyAlignment="1">
      <alignment horizontal="center"/>
    </xf>
    <xf numFmtId="189" fontId="25" fillId="0" borderId="31" xfId="0" applyNumberFormat="1" applyFont="1" applyBorder="1" applyAlignment="1">
      <alignment horizontal="center"/>
    </xf>
    <xf numFmtId="0" fontId="25" fillId="0" borderId="31" xfId="0" applyFont="1" applyBorder="1" applyAlignment="1">
      <alignment horizontal="center" vertical="center" wrapText="1"/>
    </xf>
    <xf numFmtId="0" fontId="25" fillId="0" borderId="31" xfId="0" applyFont="1" applyBorder="1" applyAlignment="1">
      <alignment horizontal="center" vertical="center"/>
    </xf>
    <xf numFmtId="0" fontId="3" fillId="0" borderId="14" xfId="0" applyFont="1" applyBorder="1" applyAlignment="1">
      <alignment horizontal="left" vertical="center" wrapText="1"/>
    </xf>
    <xf numFmtId="192" fontId="30" fillId="0" borderId="14" xfId="0" applyNumberFormat="1" applyFont="1" applyBorder="1" applyAlignment="1">
      <alignment horizontal="left"/>
    </xf>
    <xf numFmtId="192" fontId="30" fillId="0" borderId="17" xfId="0" applyNumberFormat="1" applyFont="1" applyBorder="1" applyAlignment="1">
      <alignment horizontal="left"/>
    </xf>
    <xf numFmtId="192" fontId="30" fillId="0" borderId="18" xfId="0" applyNumberFormat="1" applyFont="1" applyBorder="1" applyAlignment="1">
      <alignment horizontal="left"/>
    </xf>
    <xf numFmtId="192" fontId="30" fillId="0" borderId="14" xfId="0" applyNumberFormat="1" applyFont="1" applyBorder="1" applyAlignment="1">
      <alignment horizontal="left" vertical="center" wrapText="1"/>
    </xf>
    <xf numFmtId="192" fontId="30" fillId="0" borderId="14" xfId="0" applyNumberFormat="1" applyFont="1" applyBorder="1" applyAlignment="1">
      <alignment horizontal="left" vertical="top"/>
    </xf>
    <xf numFmtId="192" fontId="31" fillId="0" borderId="22" xfId="0" applyNumberFormat="1" applyFont="1" applyBorder="1" applyAlignment="1">
      <alignment horizontal="left" vertical="top"/>
    </xf>
    <xf numFmtId="192" fontId="31" fillId="0" borderId="21" xfId="0" applyNumberFormat="1" applyFont="1" applyBorder="1" applyAlignment="1">
      <alignment horizontal="left"/>
    </xf>
    <xf numFmtId="192" fontId="31" fillId="0" borderId="24" xfId="0" applyNumberFormat="1" applyFont="1" applyBorder="1" applyAlignment="1">
      <alignment horizontal="left"/>
    </xf>
    <xf numFmtId="192" fontId="31" fillId="0" borderId="23" xfId="0" applyNumberFormat="1" applyFont="1" applyBorder="1" applyAlignment="1">
      <alignment horizontal="left" vertical="top"/>
    </xf>
    <xf numFmtId="192" fontId="31" fillId="0" borderId="0" xfId="0" applyNumberFormat="1" applyFont="1" applyBorder="1" applyAlignment="1">
      <alignment horizontal="left"/>
    </xf>
    <xf numFmtId="192" fontId="31" fillId="0" borderId="25" xfId="0" applyNumberFormat="1" applyFont="1" applyBorder="1" applyAlignment="1">
      <alignment horizontal="left"/>
    </xf>
    <xf numFmtId="0" fontId="3" fillId="18" borderId="14" xfId="0" applyFont="1" applyFill="1" applyBorder="1" applyAlignment="1">
      <alignment horizontal="center"/>
    </xf>
    <xf numFmtId="0" fontId="3" fillId="18" borderId="17" xfId="0" applyFont="1" applyFill="1" applyBorder="1" applyAlignment="1">
      <alignment horizontal="center"/>
    </xf>
    <xf numFmtId="0" fontId="3" fillId="18" borderId="18" xfId="0" applyFont="1" applyFill="1" applyBorder="1" applyAlignment="1">
      <alignment horizontal="center"/>
    </xf>
    <xf numFmtId="0" fontId="3" fillId="19" borderId="14" xfId="0" applyFont="1" applyFill="1" applyBorder="1" applyAlignment="1">
      <alignment horizontal="center"/>
    </xf>
    <xf numFmtId="0" fontId="3" fillId="19" borderId="17" xfId="0" applyFont="1" applyFill="1" applyBorder="1" applyAlignment="1">
      <alignment horizontal="center"/>
    </xf>
    <xf numFmtId="0" fontId="3" fillId="19" borderId="18" xfId="0" applyFont="1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3" fillId="3" borderId="18" xfId="0" applyFont="1" applyFill="1" applyBorder="1" applyAlignment="1">
      <alignment horizontal="center"/>
    </xf>
    <xf numFmtId="0" fontId="23" fillId="12" borderId="14" xfId="0" applyFont="1" applyFill="1" applyBorder="1" applyAlignment="1">
      <alignment horizontal="center"/>
    </xf>
    <xf numFmtId="0" fontId="23" fillId="12" borderId="18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3" fillId="3" borderId="32" xfId="0" applyFont="1" applyFill="1" applyBorder="1" applyAlignment="1">
      <alignment horizontal="center" vertical="center" wrapText="1"/>
    </xf>
    <xf numFmtId="0" fontId="0" fillId="3" borderId="32" xfId="0" applyFill="1" applyBorder="1" applyAlignment="1">
      <alignment horizontal="center" vertical="center" wrapText="1"/>
    </xf>
    <xf numFmtId="0" fontId="23" fillId="3" borderId="19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30" xfId="0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/>
    </xf>
    <xf numFmtId="0" fontId="0" fillId="7" borderId="14" xfId="0" applyFill="1" applyBorder="1" applyAlignment="1">
      <alignment horizontal="left"/>
    </xf>
    <xf numFmtId="0" fontId="0" fillId="7" borderId="17" xfId="0" applyFill="1" applyBorder="1" applyAlignment="1">
      <alignment horizontal="left"/>
    </xf>
    <xf numFmtId="0" fontId="0" fillId="7" borderId="18" xfId="0" applyFill="1" applyBorder="1" applyAlignment="1">
      <alignment horizontal="left"/>
    </xf>
    <xf numFmtId="14" fontId="0" fillId="7" borderId="14" xfId="0" applyNumberFormat="1" applyFill="1" applyBorder="1" applyAlignment="1">
      <alignment horizontal="left"/>
    </xf>
    <xf numFmtId="49" fontId="19" fillId="0" borderId="20" xfId="0" applyNumberFormat="1" applyFont="1" applyBorder="1" applyAlignment="1" applyProtection="1">
      <alignment horizontal="left" vertical="top" wrapText="1" indent="1"/>
      <protection locked="0"/>
    </xf>
    <xf numFmtId="0" fontId="18" fillId="0" borderId="0" xfId="0" applyFont="1" applyAlignment="1" applyProtection="1">
      <alignment horizontal="center" vertical="center" wrapText="1"/>
      <protection locked="0"/>
    </xf>
    <xf numFmtId="58" fontId="19" fillId="0" borderId="0" xfId="0" applyNumberFormat="1" applyFont="1" applyAlignment="1" applyProtection="1">
      <alignment horizontal="right"/>
      <protection locked="0"/>
    </xf>
  </cellXfs>
  <cellStyles count="7">
    <cellStyle name="一般" xfId="0" builtinId="0"/>
    <cellStyle name="一般 2" xfId="3"/>
    <cellStyle name="一般 2 2" xfId="4"/>
    <cellStyle name="一般_SUM1-1" xfId="1"/>
    <cellStyle name="千分位" xfId="2" builtinId="3"/>
    <cellStyle name="千分位[0] 2" xfId="6"/>
    <cellStyle name="百分比 2" xfId="5"/>
  </cellStyles>
  <dxfs count="0"/>
  <tableStyles count="0" defaultTableStyle="TableStyleMedium9" defaultPivotStyle="PivotStyleLight16"/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8.xml"/><Relationship Id="rId39" Type="http://schemas.openxmlformats.org/officeDocument/2006/relationships/externalLink" Target="externalLinks/externalLink21.xml"/><Relationship Id="rId21" Type="http://schemas.openxmlformats.org/officeDocument/2006/relationships/externalLink" Target="externalLinks/externalLink3.xml"/><Relationship Id="rId34" Type="http://schemas.openxmlformats.org/officeDocument/2006/relationships/externalLink" Target="externalLinks/externalLink16.xml"/><Relationship Id="rId42" Type="http://schemas.openxmlformats.org/officeDocument/2006/relationships/externalLink" Target="externalLinks/externalLink24.xml"/><Relationship Id="rId47" Type="http://schemas.openxmlformats.org/officeDocument/2006/relationships/externalLink" Target="externalLinks/externalLink29.xml"/><Relationship Id="rId50" Type="http://schemas.openxmlformats.org/officeDocument/2006/relationships/externalLink" Target="externalLinks/externalLink32.xml"/><Relationship Id="rId55" Type="http://schemas.openxmlformats.org/officeDocument/2006/relationships/externalLink" Target="externalLinks/externalLink3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externalLink" Target="externalLinks/externalLink11.xml"/><Relationship Id="rId41" Type="http://schemas.openxmlformats.org/officeDocument/2006/relationships/externalLink" Target="externalLinks/externalLink23.xml"/><Relationship Id="rId54" Type="http://schemas.openxmlformats.org/officeDocument/2006/relationships/externalLink" Target="externalLinks/externalLink3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32" Type="http://schemas.openxmlformats.org/officeDocument/2006/relationships/externalLink" Target="externalLinks/externalLink14.xml"/><Relationship Id="rId37" Type="http://schemas.openxmlformats.org/officeDocument/2006/relationships/externalLink" Target="externalLinks/externalLink19.xml"/><Relationship Id="rId40" Type="http://schemas.openxmlformats.org/officeDocument/2006/relationships/externalLink" Target="externalLinks/externalLink22.xml"/><Relationship Id="rId45" Type="http://schemas.openxmlformats.org/officeDocument/2006/relationships/externalLink" Target="externalLinks/externalLink27.xml"/><Relationship Id="rId53" Type="http://schemas.openxmlformats.org/officeDocument/2006/relationships/externalLink" Target="externalLinks/externalLink35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externalLink" Target="externalLinks/externalLink10.xml"/><Relationship Id="rId36" Type="http://schemas.openxmlformats.org/officeDocument/2006/relationships/externalLink" Target="externalLinks/externalLink18.xml"/><Relationship Id="rId49" Type="http://schemas.openxmlformats.org/officeDocument/2006/relationships/externalLink" Target="externalLinks/externalLink31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externalLink" Target="externalLinks/externalLink13.xml"/><Relationship Id="rId44" Type="http://schemas.openxmlformats.org/officeDocument/2006/relationships/externalLink" Target="externalLinks/externalLink26.xml"/><Relationship Id="rId52" Type="http://schemas.openxmlformats.org/officeDocument/2006/relationships/externalLink" Target="externalLinks/externalLink34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externalLink" Target="externalLinks/externalLink9.xml"/><Relationship Id="rId30" Type="http://schemas.openxmlformats.org/officeDocument/2006/relationships/externalLink" Target="externalLinks/externalLink12.xml"/><Relationship Id="rId35" Type="http://schemas.openxmlformats.org/officeDocument/2006/relationships/externalLink" Target="externalLinks/externalLink17.xml"/><Relationship Id="rId43" Type="http://schemas.openxmlformats.org/officeDocument/2006/relationships/externalLink" Target="externalLinks/externalLink25.xml"/><Relationship Id="rId48" Type="http://schemas.openxmlformats.org/officeDocument/2006/relationships/externalLink" Target="externalLinks/externalLink30.xml"/><Relationship Id="rId56" Type="http://schemas.openxmlformats.org/officeDocument/2006/relationships/externalLink" Target="externalLinks/externalLink38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7.xml"/><Relationship Id="rId33" Type="http://schemas.openxmlformats.org/officeDocument/2006/relationships/externalLink" Target="externalLinks/externalLink15.xml"/><Relationship Id="rId38" Type="http://schemas.openxmlformats.org/officeDocument/2006/relationships/externalLink" Target="externalLinks/externalLink20.xml"/><Relationship Id="rId46" Type="http://schemas.openxmlformats.org/officeDocument/2006/relationships/externalLink" Target="externalLinks/externalLink28.xml"/><Relationship Id="rId5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0" fmlaLink="$P$8" max="30000" page="10" val="0"/>
</file>

<file path=xl/ctrlProps/ctrlProp2.xml><?xml version="1.0" encoding="utf-8"?>
<formControlPr xmlns="http://schemas.microsoft.com/office/spreadsheetml/2009/9/main" objectType="Spin" dx="20" fmlaLink="$P$8" max="30000" page="1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406400</xdr:colOff>
      <xdr:row>1</xdr:row>
      <xdr:rowOff>48260</xdr:rowOff>
    </xdr:from>
    <xdr:to>
      <xdr:col>8</xdr:col>
      <xdr:colOff>457200</xdr:colOff>
      <xdr:row>2</xdr:row>
      <xdr:rowOff>96520</xdr:rowOff>
    </xdr:to>
    <xdr:sp macro="insertline1131119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064000" y="254000"/>
          <a:ext cx="1270000" cy="254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200" b="0" i="0">
              <a:solidFill>
                <a:srgbClr val="000000"/>
              </a:solidFill>
              <a:latin typeface="標楷體"/>
            </a:rPr>
            <a:t>插入顯示列</a:t>
          </a:r>
        </a:p>
      </xdr:txBody>
    </xdr:sp>
    <xdr:clientData/>
  </xdr:twoCellAnchor>
  <xdr:twoCellAnchor>
    <xdr:from>
      <xdr:col>6</xdr:col>
      <xdr:colOff>406400</xdr:colOff>
      <xdr:row>1</xdr:row>
      <xdr:rowOff>48260</xdr:rowOff>
    </xdr:from>
    <xdr:to>
      <xdr:col>8</xdr:col>
      <xdr:colOff>457200</xdr:colOff>
      <xdr:row>2</xdr:row>
      <xdr:rowOff>96520</xdr:rowOff>
    </xdr:to>
    <xdr:sp macro="insertline1131119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064000" y="254000"/>
          <a:ext cx="1270000" cy="254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200" b="0" i="0">
              <a:solidFill>
                <a:srgbClr val="000000"/>
              </a:solidFill>
              <a:latin typeface="標楷體"/>
            </a:rPr>
            <a:t>插入顯示列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436880</xdr:colOff>
      <xdr:row>1</xdr:row>
      <xdr:rowOff>48260</xdr:rowOff>
    </xdr:from>
    <xdr:to>
      <xdr:col>4</xdr:col>
      <xdr:colOff>487680</xdr:colOff>
      <xdr:row>2</xdr:row>
      <xdr:rowOff>96520</xdr:rowOff>
    </xdr:to>
    <xdr:sp macro="_xludf.search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40000" y="254000"/>
          <a:ext cx="1270000" cy="254000"/>
        </a:xfrm>
        <a:prstGeom prst="rect">
          <a:avLst/>
        </a:prstGeom>
        <a:solidFill>
          <a:srgbClr val="00FFFF"/>
        </a:solidFill>
        <a:ln w="9525" cap="flat" cmpd="sng" algn="ctr">
          <a:solidFill>
            <a:srgbClr val="800080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200" b="0" i="0">
              <a:solidFill>
                <a:srgbClr val="000000"/>
              </a:solidFill>
              <a:latin typeface="標楷體"/>
            </a:rPr>
            <a:t>資料查詢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690880</xdr:colOff>
      <xdr:row>0</xdr:row>
      <xdr:rowOff>254000</xdr:rowOff>
    </xdr:from>
    <xdr:to>
      <xdr:col>15</xdr:col>
      <xdr:colOff>474980</xdr:colOff>
      <xdr:row>1</xdr:row>
      <xdr:rowOff>66040</xdr:rowOff>
    </xdr:to>
    <xdr:sp macro="SetPrint2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462000" y="254000"/>
          <a:ext cx="1270000" cy="254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200" b="0" i="0">
              <a:solidFill>
                <a:srgbClr val="000000"/>
              </a:solidFill>
              <a:latin typeface="標楷體"/>
            </a:rPr>
            <a:t>區間列印</a:t>
          </a:r>
        </a:p>
      </xdr:txBody>
    </xdr:sp>
    <xdr:clientData/>
  </xdr:twoCellAnchor>
  <xdr:twoCellAnchor>
    <xdr:from>
      <xdr:col>13</xdr:col>
      <xdr:colOff>690880</xdr:colOff>
      <xdr:row>1</xdr:row>
      <xdr:rowOff>320040</xdr:rowOff>
    </xdr:from>
    <xdr:to>
      <xdr:col>15</xdr:col>
      <xdr:colOff>474980</xdr:colOff>
      <xdr:row>2</xdr:row>
      <xdr:rowOff>109220</xdr:rowOff>
    </xdr:to>
    <xdr:sp macro="Settopdf2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462000" y="762000"/>
          <a:ext cx="1270000" cy="254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200" b="0" i="0">
              <a:solidFill>
                <a:srgbClr val="0000FF"/>
              </a:solidFill>
              <a:latin typeface="標楷體"/>
            </a:rPr>
            <a:t>區間轉檔</a:t>
          </a:r>
          <a:r>
            <a:rPr lang="en-US" altLang="zh-TW" sz="1200" b="0" i="0">
              <a:solidFill>
                <a:srgbClr val="0000FF"/>
              </a:solidFill>
              <a:latin typeface="標楷體"/>
            </a:rPr>
            <a:t>pdf</a:t>
          </a:r>
          <a:endParaRPr lang="zh-TW" altLang="en-US" sz="1200" b="0" i="0">
            <a:solidFill>
              <a:srgbClr val="0000FF"/>
            </a:solidFill>
            <a:latin typeface="標楷體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914400</xdr:colOff>
          <xdr:row>0</xdr:row>
          <xdr:rowOff>314325</xdr:rowOff>
        </xdr:from>
        <xdr:to>
          <xdr:col>13</xdr:col>
          <xdr:colOff>704850</xdr:colOff>
          <xdr:row>4</xdr:row>
          <xdr:rowOff>142875</xdr:rowOff>
        </xdr:to>
        <xdr:sp macro="" textlink="">
          <xdr:nvSpPr>
            <xdr:cNvPr id="166913" name="微調按鈕 1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:a16="http://schemas.microsoft.com/office/drawing/2014/main" id="{00000000-0008-0000-0400-00000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690880</xdr:colOff>
      <xdr:row>0</xdr:row>
      <xdr:rowOff>254000</xdr:rowOff>
    </xdr:from>
    <xdr:to>
      <xdr:col>15</xdr:col>
      <xdr:colOff>474980</xdr:colOff>
      <xdr:row>1</xdr:row>
      <xdr:rowOff>66040</xdr:rowOff>
    </xdr:to>
    <xdr:sp macro="SetPrint2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3462000" y="254000"/>
          <a:ext cx="1270000" cy="254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200" b="0" i="0">
              <a:solidFill>
                <a:srgbClr val="000000"/>
              </a:solidFill>
              <a:latin typeface="標楷體"/>
            </a:rPr>
            <a:t>區間列印</a:t>
          </a:r>
        </a:p>
      </xdr:txBody>
    </xdr:sp>
    <xdr:clientData/>
  </xdr:twoCellAnchor>
  <xdr:twoCellAnchor>
    <xdr:from>
      <xdr:col>13</xdr:col>
      <xdr:colOff>690880</xdr:colOff>
      <xdr:row>1</xdr:row>
      <xdr:rowOff>320040</xdr:rowOff>
    </xdr:from>
    <xdr:to>
      <xdr:col>15</xdr:col>
      <xdr:colOff>474980</xdr:colOff>
      <xdr:row>2</xdr:row>
      <xdr:rowOff>109220</xdr:rowOff>
    </xdr:to>
    <xdr:sp macro="Settopdf2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3462000" y="762000"/>
          <a:ext cx="1270000" cy="254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200" b="0" i="0">
              <a:solidFill>
                <a:srgbClr val="0000FF"/>
              </a:solidFill>
              <a:latin typeface="標楷體"/>
            </a:rPr>
            <a:t>區間轉檔</a:t>
          </a:r>
          <a:r>
            <a:rPr lang="en-US" altLang="zh-TW" sz="1200" b="0" i="0">
              <a:solidFill>
                <a:srgbClr val="0000FF"/>
              </a:solidFill>
              <a:latin typeface="標楷體"/>
            </a:rPr>
            <a:t>pdf</a:t>
          </a:r>
          <a:endParaRPr lang="zh-TW" altLang="en-US" sz="1200" b="0" i="0">
            <a:solidFill>
              <a:srgbClr val="0000FF"/>
            </a:solidFill>
            <a:latin typeface="標楷體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914400</xdr:colOff>
          <xdr:row>0</xdr:row>
          <xdr:rowOff>314325</xdr:rowOff>
        </xdr:from>
        <xdr:to>
          <xdr:col>13</xdr:col>
          <xdr:colOff>704850</xdr:colOff>
          <xdr:row>4</xdr:row>
          <xdr:rowOff>142875</xdr:rowOff>
        </xdr:to>
        <xdr:sp macro="" textlink="">
          <xdr:nvSpPr>
            <xdr:cNvPr id="165889" name="微調按鈕 1" hidden="1">
              <a:extLst>
                <a:ext uri="{63B3BB69-23CF-44E3-9099-C40C66FF867C}">
                  <a14:compatExt spid="_x0000_s165889"/>
                </a:ext>
                <a:ext uri="{FF2B5EF4-FFF2-40B4-BE49-F238E27FC236}">
                  <a16:creationId xmlns:a16="http://schemas.microsoft.com/office/drawing/2014/main" id="{00000000-0008-0000-0500-000001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371475</xdr:colOff>
      <xdr:row>0</xdr:row>
      <xdr:rowOff>0</xdr:rowOff>
    </xdr:from>
    <xdr:to>
      <xdr:col>13</xdr:col>
      <xdr:colOff>485775</xdr:colOff>
      <xdr:row>2</xdr:row>
      <xdr:rowOff>200024</xdr:rowOff>
    </xdr:to>
    <xdr:sp macro="[0]!schedulechk2" textlink="">
      <xdr:nvSpPr>
        <xdr:cNvPr id="11" name="矩形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11298555" y="0"/>
          <a:ext cx="1013460" cy="611504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>
              <a:solidFill>
                <a:schemeClr val="tx1"/>
              </a:solidFill>
            </a:rPr>
            <a:t>進度日期固定區間數控制</a:t>
          </a:r>
        </a:p>
      </xdr:txBody>
    </xdr:sp>
    <xdr:clientData/>
  </xdr:twoCellAnchor>
  <xdr:twoCellAnchor>
    <xdr:from>
      <xdr:col>13</xdr:col>
      <xdr:colOff>681990</xdr:colOff>
      <xdr:row>0</xdr:row>
      <xdr:rowOff>55245</xdr:rowOff>
    </xdr:from>
    <xdr:to>
      <xdr:col>14</xdr:col>
      <xdr:colOff>786765</xdr:colOff>
      <xdr:row>3</xdr:row>
      <xdr:rowOff>49529</xdr:rowOff>
    </xdr:to>
    <xdr:sp macro="[0]!schedulechk1" textlink="">
      <xdr:nvSpPr>
        <xdr:cNvPr id="12" name="矩形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12508230" y="55245"/>
          <a:ext cx="1011555" cy="611504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>
              <a:solidFill>
                <a:schemeClr val="tx1"/>
              </a:solidFill>
            </a:rPr>
            <a:t>進度日期填寫</a:t>
          </a:r>
          <a:r>
            <a:rPr lang="en-US" altLang="zh-TW" sz="1100">
              <a:solidFill>
                <a:schemeClr val="tx1"/>
              </a:solidFill>
            </a:rPr>
            <a:t>15</a:t>
          </a:r>
          <a:r>
            <a:rPr lang="zh-TW" altLang="en-US" sz="1100">
              <a:solidFill>
                <a:schemeClr val="tx1"/>
              </a:solidFill>
            </a:rPr>
            <a:t>及月底控制</a:t>
          </a:r>
        </a:p>
      </xdr:txBody>
    </xdr:sp>
    <xdr:clientData/>
  </xdr:twoCellAnchor>
  <xdr:twoCellAnchor>
    <xdr:from>
      <xdr:col>15</xdr:col>
      <xdr:colOff>9525</xdr:colOff>
      <xdr:row>0</xdr:row>
      <xdr:rowOff>0</xdr:rowOff>
    </xdr:from>
    <xdr:to>
      <xdr:col>16</xdr:col>
      <xdr:colOff>152400</xdr:colOff>
      <xdr:row>2</xdr:row>
      <xdr:rowOff>200024</xdr:rowOff>
    </xdr:to>
    <xdr:sp macro="[0]!schedulechk" textlink="">
      <xdr:nvSpPr>
        <xdr:cNvPr id="13" name="矩形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13641705" y="0"/>
          <a:ext cx="1019175" cy="611504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>
              <a:solidFill>
                <a:schemeClr val="tx1"/>
              </a:solidFill>
            </a:rPr>
            <a:t>進度日期填寫</a:t>
          </a:r>
          <a:r>
            <a:rPr lang="en-US" altLang="zh-TW" sz="1100">
              <a:solidFill>
                <a:schemeClr val="tx1"/>
              </a:solidFill>
            </a:rPr>
            <a:t>10</a:t>
          </a:r>
          <a:r>
            <a:rPr lang="zh-TW" altLang="en-US" sz="1100">
              <a:solidFill>
                <a:schemeClr val="tx1"/>
              </a:solidFill>
            </a:rPr>
            <a:t>，</a:t>
          </a:r>
          <a:r>
            <a:rPr lang="en-US" altLang="zh-TW" sz="1100">
              <a:solidFill>
                <a:schemeClr val="tx1"/>
              </a:solidFill>
            </a:rPr>
            <a:t>25</a:t>
          </a:r>
          <a:r>
            <a:rPr lang="zh-TW" altLang="en-US" sz="1100">
              <a:solidFill>
                <a:schemeClr val="tx1"/>
              </a:solidFill>
            </a:rPr>
            <a:t>日控制</a:t>
          </a:r>
        </a:p>
      </xdr:txBody>
    </xdr:sp>
    <xdr:clientData/>
  </xdr:twoCellAnchor>
  <xdr:twoCellAnchor>
    <xdr:from>
      <xdr:col>12</xdr:col>
      <xdr:colOff>385370</xdr:colOff>
      <xdr:row>3</xdr:row>
      <xdr:rowOff>84265</xdr:rowOff>
    </xdr:from>
    <xdr:to>
      <xdr:col>13</xdr:col>
      <xdr:colOff>499670</xdr:colOff>
      <xdr:row>5</xdr:row>
      <xdr:rowOff>170326</xdr:rowOff>
    </xdr:to>
    <xdr:sp macro="[0]!schedule20231201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11312450" y="701485"/>
          <a:ext cx="1013460" cy="497541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>
              <a:solidFill>
                <a:srgbClr val="7030A0"/>
              </a:solidFill>
            </a:rPr>
            <a:t>日數、進度公式整理</a:t>
          </a:r>
        </a:p>
      </xdr:txBody>
    </xdr:sp>
    <xdr:clientData/>
  </xdr:twoCellAnchor>
  <xdr:twoCellAnchor>
    <xdr:from>
      <xdr:col>15</xdr:col>
      <xdr:colOff>27455</xdr:colOff>
      <xdr:row>3</xdr:row>
      <xdr:rowOff>80682</xdr:rowOff>
    </xdr:from>
    <xdr:to>
      <xdr:col>16</xdr:col>
      <xdr:colOff>170330</xdr:colOff>
      <xdr:row>5</xdr:row>
      <xdr:rowOff>170330</xdr:rowOff>
    </xdr:to>
    <xdr:sp macro="[0]!schedulechk3" textlink="">
      <xdr:nvSpPr>
        <xdr:cNvPr id="15" name="矩形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13659635" y="697902"/>
          <a:ext cx="1019175" cy="501128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>
              <a:solidFill>
                <a:schemeClr val="tx1"/>
              </a:solidFill>
            </a:rPr>
            <a:t>增加第</a:t>
          </a:r>
          <a:r>
            <a:rPr lang="en-US" altLang="zh-TW" sz="1100">
              <a:solidFill>
                <a:schemeClr val="tx1"/>
              </a:solidFill>
            </a:rPr>
            <a:t>1</a:t>
          </a:r>
          <a:r>
            <a:rPr lang="zh-TW" altLang="en-US" sz="1100">
              <a:solidFill>
                <a:schemeClr val="tx1"/>
              </a:solidFill>
            </a:rPr>
            <a:t>日單獨列</a:t>
          </a:r>
        </a:p>
      </xdr:txBody>
    </xdr:sp>
    <xdr:clientData/>
  </xdr:twoCellAnchor>
  <xdr:twoCellAnchor>
    <xdr:from>
      <xdr:col>13</xdr:col>
      <xdr:colOff>689610</xdr:colOff>
      <xdr:row>3</xdr:row>
      <xdr:rowOff>139065</xdr:rowOff>
    </xdr:from>
    <xdr:to>
      <xdr:col>14</xdr:col>
      <xdr:colOff>794385</xdr:colOff>
      <xdr:row>6</xdr:row>
      <xdr:rowOff>133349</xdr:rowOff>
    </xdr:to>
    <xdr:sp macro="[0]!schedulechk11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12515850" y="756285"/>
          <a:ext cx="1011555" cy="611504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>
              <a:solidFill>
                <a:schemeClr val="tx1"/>
              </a:solidFill>
            </a:rPr>
            <a:t>進度日期填寫月底控制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0</xdr:row>
      <xdr:rowOff>266700</xdr:rowOff>
    </xdr:from>
    <xdr:to>
      <xdr:col>11</xdr:col>
      <xdr:colOff>171450</xdr:colOff>
      <xdr:row>1</xdr:row>
      <xdr:rowOff>266700</xdr:rowOff>
    </xdr:to>
    <xdr:sp macro="[0]!mergedata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8258175" y="266700"/>
          <a:ext cx="15335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/>
            <a:t>詳細及說明欄位整合</a:t>
          </a:r>
          <a:endParaRPr lang="en-US" altLang="zh-TW" sz="1100"/>
        </a:p>
        <a:p>
          <a:pPr algn="l"/>
          <a:endParaRPr lang="zh-TW" altLang="en-US" sz="1100"/>
        </a:p>
      </xdr:txBody>
    </xdr:sp>
    <xdr:clientData/>
  </xdr:twoCellAnchor>
  <xdr:twoCellAnchor>
    <xdr:from>
      <xdr:col>9</xdr:col>
      <xdr:colOff>9525</xdr:colOff>
      <xdr:row>0</xdr:row>
      <xdr:rowOff>266700</xdr:rowOff>
    </xdr:from>
    <xdr:to>
      <xdr:col>11</xdr:col>
      <xdr:colOff>171450</xdr:colOff>
      <xdr:row>1</xdr:row>
      <xdr:rowOff>266700</xdr:rowOff>
    </xdr:to>
    <xdr:sp macro="[0]!mergedata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8830503" y="266700"/>
          <a:ext cx="1536838" cy="3064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/>
            <a:t>詳細及說明欄位整合</a:t>
          </a:r>
          <a:endParaRPr lang="en-US" altLang="zh-TW" sz="1100"/>
        </a:p>
        <a:p>
          <a:pPr algn="l"/>
          <a:endParaRPr lang="zh-TW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0</xdr:rowOff>
    </xdr:from>
    <xdr:to>
      <xdr:col>7</xdr:col>
      <xdr:colOff>132741</xdr:colOff>
      <xdr:row>4</xdr:row>
      <xdr:rowOff>49930</xdr:rowOff>
    </xdr:to>
    <xdr:sp macro="[0]!workdate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667375" y="628650"/>
          <a:ext cx="1275741" cy="25948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200" b="0" i="0">
              <a:solidFill>
                <a:srgbClr val="000000"/>
              </a:solidFill>
              <a:latin typeface="標楷體"/>
            </a:rPr>
            <a:t>開始計算日期</a:t>
          </a:r>
        </a:p>
      </xdr:txBody>
    </xdr:sp>
    <xdr:clientData/>
  </xdr:twoCellAnchor>
  <xdr:twoCellAnchor>
    <xdr:from>
      <xdr:col>6</xdr:col>
      <xdr:colOff>0</xdr:colOff>
      <xdr:row>5</xdr:row>
      <xdr:rowOff>123825</xdr:rowOff>
    </xdr:from>
    <xdr:to>
      <xdr:col>7</xdr:col>
      <xdr:colOff>132741</xdr:colOff>
      <xdr:row>6</xdr:row>
      <xdr:rowOff>173755</xdr:rowOff>
    </xdr:to>
    <xdr:sp macro="[0]!workdateSch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5753100" y="1171575"/>
          <a:ext cx="1275741" cy="25948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200" b="0" i="0">
              <a:solidFill>
                <a:srgbClr val="000000"/>
              </a:solidFill>
              <a:latin typeface="標楷體"/>
            </a:rPr>
            <a:t>開始填入進度</a:t>
          </a:r>
        </a:p>
      </xdr:txBody>
    </xdr:sp>
    <xdr:clientData/>
  </xdr:twoCellAnchor>
  <xdr:twoCellAnchor>
    <xdr:from>
      <xdr:col>13</xdr:col>
      <xdr:colOff>180975</xdr:colOff>
      <xdr:row>3</xdr:row>
      <xdr:rowOff>38100</xdr:rowOff>
    </xdr:from>
    <xdr:to>
      <xdr:col>15</xdr:col>
      <xdr:colOff>85116</xdr:colOff>
      <xdr:row>4</xdr:row>
      <xdr:rowOff>88030</xdr:rowOff>
    </xdr:to>
    <xdr:sp macro="[0]!workdate2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3249275" y="666750"/>
          <a:ext cx="1275741" cy="259480"/>
        </a:xfrm>
        <a:prstGeom prst="rect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200" b="0" i="0">
              <a:solidFill>
                <a:srgbClr val="000000"/>
              </a:solidFill>
              <a:latin typeface="標楷體"/>
            </a:rPr>
            <a:t>開始計算日期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31649;10\C\XLS\85XLS\853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20116;&#27827;&#36039;&#26009;1080109/107&#24180;&#24037;&#20316;/107&#24180;&#21069;&#26481;&#28207;&#25490;&#27700;&#27835;&#29702;&#24037;&#31243;/&#35722;&#26356;&#36039;&#26009;&#22846;/&#35722;&#26356;-&#21069;&#26481;&#28207;&#25490;&#27700;&#27835;&#29702;&#24037;&#31243;+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EXCELEX1\USANSTD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File/&#27700;&#38263;&#27969;/XLS/85XLS/8539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DATA\CYH\CHISAN\DOC\BGT-GAT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USR\LMC\TPGM\TPGM1\TAIP\WRL\CHISAN\BGT-GAT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USR\LMC\TPGM\TPGM1\TAIP\WRL\CHISAN\BGT-GAT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ou\d\&#24037;&#26989;&#31649;&#36335;\&#31532;&#19971;&#31449;&#31400;&#20117;\WRL\CHISAN\BGT-G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4037;&#31243;&#38928;&#31639;&#26360;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WRL\CHISAN\BGT-G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TC\SBK8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WRL\MIS\BG8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ou\d\&#24037;&#26989;&#31649;&#36335;\&#31532;&#19971;&#31449;&#31400;&#20117;\WRL\MIS\BG8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1934;&#20729;&#20998;&#26512;&#34920;(1-11)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EXCEL5\TMP\MADSU.XLQ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DATA\WRL\CHISAN\BGT-GAT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/MYDOC/&#38928;&#31639;&#26360;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KS47\XLS\ANALYSIS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EX1/USANSTD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SR\LMC\TPGM\TPGM1\TAIP\WRL\MIS\BG8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USR\LMC\TPGM\TPGM1\TAIP\WRL\MIS\BG8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stone/&#22522;&#26412;940803/WRL/MIS/BG8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&#24037;&#26989;&#31649;&#36335;\&#31532;&#19971;&#31449;&#31400;&#20117;\WRL\MIS\BG8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SR\LMC\TPGM\TPGM1\TAIP\WRL\CHISAN\BGT-GATE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stone/&#22522;&#26412;940803/WRL/CHISAN/BGT-GATE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&#22823;&#28246;&#32048;&#35373;/&#22823;&#28246;&#37326;&#28330;&#33258;&#24375;&#27211;&#32048;&#35373;&#38928;&#31639;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33865;&#30693;&#31179;/AppData/Roaming/Microsoft/Excel/1110520-tracy0811&#26446;&#38597;&#24800;/1110409&#22823;&#30002;&#21312;&#22823;&#26234;&#36335;&#24037;&#31243;joa360507/&#23416;&#32722;&#29256;&#26045;&#24037;&#26085;&#35468;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65.132.220\&#24037;&#21209;&#35506;&#20849;&#29992;&#21312;\Documents%20and%20Settings\r122974282\Local%20Settings\Temporary%20Internet%20Files\Content.IE5\1KG7MYVB\&#22823;&#21271;&#21218;(&#19979;)&#22294;&#27284;\&#38642;&#26519;&#28330;&#22823;&#21271;&#21218;)&#38928;&#31639;22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&#23429;&#28207;%20&#38928;&#31639;&#26360;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Ygl/&#38928;&#31639;&#26360;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65.132.220\&#24037;&#21209;&#35506;&#36039;&#26009;&#24235;\&#38928;&#31639;&#26360;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2&#26045;&#24037;/93/93&#34382;&#23614;&#22564;&#38450;/&#34382;&#23614;&#22564;&#27573;&#22294;&#27284;/temp/&#38928;&#31639;&#26360;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/1&#22823;&#21271;&#21218;&#19979;&#28216;&#28204;&#37327;(&#38642;&#26519;&#28330;/&#22294;&#27284;/&#22294;&#27284;/&#38642;&#26519;&#28330;&#22823;&#21271;&#21218;)&#38928;&#31639;22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65.132.220\&#24037;&#21209;&#35506;&#20849;&#29992;&#21312;\1&#22823;&#21271;&#21218;&#19979;&#28216;&#28204;&#37327;(&#38642;&#26519;&#28330;\&#22294;&#27284;\&#22294;&#27284;\&#38642;&#26519;&#28330;&#22823;&#21271;&#21218;)&#38928;&#31639;22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&#38928;&#31639;&#26360;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65.132.220\&#24037;&#21209;&#35506;&#36039;&#26009;&#24235;\DOC\MYDOC\&#38928;&#31639;&#26360;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/lmc/&#35373;&#35336;/&#25277;&#34276;&#22353;&#28330;&#20013;&#28216;&#27573;&#25972;&#27835;/&#21443;&#32771;&#36039;&#26009;/&#32147;&#36027;&#27010;&#20272;950502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/&#35722;&#26356;&#35373;&#35336;&#34389;&#29702;&#26696;&#20214;/5&#38928;&#31639;&#26360;&#32232;&#35069;/94/&#20013;&#27915;&#23376;/&#27511;&#24180;&#38928;&#31639;&#26360;/temp/&#38928;&#31639;&#2636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計畫說明書"/>
      <sheetName val="工程預算書1"/>
      <sheetName val="工程預算書2"/>
      <sheetName val="1.挖方 , 回填方"/>
      <sheetName val="3.遠運棄方,填碎石級配"/>
      <sheetName val="5.水泥砂漿,210混凝土"/>
      <sheetName val="7.140 混凝土.鋼筋"/>
      <sheetName val="9.甲種模板,舖底基礎"/>
      <sheetName val="11,洗石子斬假石"/>
      <sheetName val="13.鑄鐵蓋,基地遷移"/>
      <sheetName val="15.U型集水溝,明溝加蓋"/>
      <sheetName val="17.集水井.景觀護坡"/>
      <sheetName val="19.紐澤西護欄.擋土牆"/>
      <sheetName val="21.圓形花臺 ,浪型花臺"/>
      <sheetName val="23.不鏽鋼欄杆"/>
      <sheetName val=" 計算表1"/>
      <sheetName val="預算書1"/>
      <sheetName val="預算書2 (2)"/>
      <sheetName val="預算書3 (2)"/>
      <sheetName val="1.放樣,挖土方"/>
      <sheetName val="3.回填方.回填級配料"/>
      <sheetName val="5.運棄方,2000混凝土"/>
      <sheetName val="7夯排卵石,砌磚"/>
      <sheetName val="9.砌玻璃磚,3000混凝土"/>
      <sheetName val="11.普通模板,鋼筋加工組立"/>
      <sheetName val="13.壁磚,地磚"/>
      <sheetName val="15.止滑地磚,大理石片"/>
      <sheetName val="17.滑地磚,油性水漆"/>
      <sheetName val="19.防水粉刷,樹脂"/>
      <sheetName val="21.恩德霖魚鱗片.粗飾"/>
      <sheetName val="23.陰井"/>
      <sheetName val="25.排水溝"/>
      <sheetName val="27.砌花台牆.導盲磚"/>
      <sheetName val="29.鋼管鷹架"/>
      <sheetName val="工程預算書1 (2)"/>
      <sheetName val="預算書2"/>
      <sheetName val="預算書3"/>
      <sheetName val="預算書4"/>
      <sheetName val="預算書5"/>
      <sheetName val="預算書6"/>
      <sheetName val="預算書7"/>
      <sheetName val="預算書8"/>
      <sheetName val="預算書9"/>
      <sheetName val="預算書10"/>
      <sheetName val="37擋土牆.休憩亭"/>
      <sheetName val="舖設透層,密級配瀝青混凝土面層 "/>
      <sheetName val="19.AC,花岡石板舖面"/>
      <sheetName val="21.漿砌花岡石.高壓混凝土"/>
      <sheetName val="23.黃木紋石,步石"/>
      <sheetName val="25.景觀花台,導盲磚"/>
      <sheetName val="31.花岡石牆板,人行道"/>
      <sheetName val="33.步道階梯,景石(1)"/>
      <sheetName val="39. 配電控制"/>
      <sheetName val="41..導線埋設,100W-1"/>
      <sheetName val="43.景觀庭園燈60-1,60-5 (3)"/>
      <sheetName val="1_挖方_,_回填方"/>
      <sheetName val="3_遠運棄方,填碎石級配"/>
      <sheetName val="5_水泥砂漿,210混凝土"/>
      <sheetName val="7_140_混凝土_鋼筋"/>
      <sheetName val="9_甲種模板,舖底基礎"/>
      <sheetName val="13_鑄鐵蓋,基地遷移"/>
      <sheetName val="15_U型集水溝,明溝加蓋"/>
      <sheetName val="17_集水井_景觀護坡"/>
      <sheetName val="19_紐澤西護欄_擋土牆"/>
      <sheetName val="21_圓形花臺_,浪型花臺"/>
      <sheetName val="23_不鏽鋼欄杆"/>
      <sheetName val="_計算表1"/>
      <sheetName val="預算書2_(2)"/>
      <sheetName val="預算書3_(2)"/>
      <sheetName val="1_放樣,挖土方"/>
      <sheetName val="3_回填方_回填級配料"/>
      <sheetName val="5_運棄方,2000混凝土"/>
      <sheetName val="9_砌玻璃磚,3000混凝土"/>
      <sheetName val="11_普通模板,鋼筋加工組立"/>
      <sheetName val="13_壁磚,地磚"/>
      <sheetName val="15_止滑地磚,大理石片"/>
      <sheetName val="17_滑地磚,油性水漆"/>
      <sheetName val="19_防水粉刷,樹脂"/>
      <sheetName val="21_恩德霖魚鱗片_粗飾"/>
      <sheetName val="23_陰井"/>
      <sheetName val="25_排水溝"/>
      <sheetName val="27_砌花台牆_導盲磚"/>
      <sheetName val="29_鋼管鷹架"/>
      <sheetName val="工程預算書1_(2)"/>
      <sheetName val="37擋土牆_休憩亭"/>
      <sheetName val="舖設透層,密級配瀝青混凝土面層_"/>
      <sheetName val="19_AC,花岡石板舖面"/>
      <sheetName val="21_漿砌花岡石_高壓混凝土"/>
      <sheetName val="23_黃木紋石,步石"/>
      <sheetName val="25_景觀花台,導盲磚"/>
      <sheetName val="31_花岡石牆板,人行道"/>
      <sheetName val="33_步道階梯,景石(1)"/>
      <sheetName val="39__配電控制"/>
      <sheetName val="41__導線埋設,100W-1"/>
      <sheetName val="43_景觀庭園燈60-1,60-5_(3)"/>
      <sheetName val="1_挖方_,_回填方2"/>
      <sheetName val="3_遠運棄方,填碎石級配2"/>
      <sheetName val="5_水泥砂漿,210混凝土2"/>
      <sheetName val="7_140_混凝土_鋼筋2"/>
      <sheetName val="9_甲種模板,舖底基礎2"/>
      <sheetName val="13_鑄鐵蓋,基地遷移2"/>
      <sheetName val="15_U型集水溝,明溝加蓋2"/>
      <sheetName val="17_集水井_景觀護坡2"/>
      <sheetName val="19_紐澤西護欄_擋土牆2"/>
      <sheetName val="21_圓形花臺_,浪型花臺2"/>
      <sheetName val="23_不鏽鋼欄杆2"/>
      <sheetName val="_計算表12"/>
      <sheetName val="預算書2_(2)2"/>
      <sheetName val="預算書3_(2)2"/>
      <sheetName val="1_放樣,挖土方2"/>
      <sheetName val="3_回填方_回填級配料2"/>
      <sheetName val="5_運棄方,2000混凝土2"/>
      <sheetName val="9_砌玻璃磚,3000混凝土2"/>
      <sheetName val="11_普通模板,鋼筋加工組立2"/>
      <sheetName val="13_壁磚,地磚2"/>
      <sheetName val="15_止滑地磚,大理石片2"/>
      <sheetName val="17_滑地磚,油性水漆2"/>
      <sheetName val="19_防水粉刷,樹脂2"/>
      <sheetName val="21_恩德霖魚鱗片_粗飾2"/>
      <sheetName val="23_陰井2"/>
      <sheetName val="25_排水溝2"/>
      <sheetName val="27_砌花台牆_導盲磚2"/>
      <sheetName val="29_鋼管鷹架2"/>
      <sheetName val="工程預算書1_(2)2"/>
      <sheetName val="37擋土牆_休憩亭2"/>
      <sheetName val="舖設透層,密級配瀝青混凝土面層_2"/>
      <sheetName val="19_AC,花岡石板舖面2"/>
      <sheetName val="21_漿砌花岡石_高壓混凝土2"/>
      <sheetName val="23_黃木紋石,步石2"/>
      <sheetName val="25_景觀花台,導盲磚2"/>
      <sheetName val="31_花岡石牆板,人行道2"/>
      <sheetName val="33_步道階梯,景石(1)2"/>
      <sheetName val="39__配電控制2"/>
      <sheetName val="41__導線埋設,100W-12"/>
      <sheetName val="43_景觀庭園燈60-1,60-5_(3)2"/>
      <sheetName val="1_挖方_,_回填方1"/>
      <sheetName val="3_遠運棄方,填碎石級配1"/>
      <sheetName val="5_水泥砂漿,210混凝土1"/>
      <sheetName val="7_140_混凝土_鋼筋1"/>
      <sheetName val="9_甲種模板,舖底基礎1"/>
      <sheetName val="13_鑄鐵蓋,基地遷移1"/>
      <sheetName val="15_U型集水溝,明溝加蓋1"/>
      <sheetName val="17_集水井_景觀護坡1"/>
      <sheetName val="19_紐澤西護欄_擋土牆1"/>
      <sheetName val="21_圓形花臺_,浪型花臺1"/>
      <sheetName val="23_不鏽鋼欄杆1"/>
      <sheetName val="_計算表11"/>
      <sheetName val="預算書2_(2)1"/>
      <sheetName val="預算書3_(2)1"/>
      <sheetName val="1_放樣,挖土方1"/>
      <sheetName val="3_回填方_回填級配料1"/>
      <sheetName val="5_運棄方,2000混凝土1"/>
      <sheetName val="9_砌玻璃磚,3000混凝土1"/>
      <sheetName val="11_普通模板,鋼筋加工組立1"/>
      <sheetName val="13_壁磚,地磚1"/>
      <sheetName val="15_止滑地磚,大理石片1"/>
      <sheetName val="17_滑地磚,油性水漆1"/>
      <sheetName val="19_防水粉刷,樹脂1"/>
      <sheetName val="21_恩德霖魚鱗片_粗飾1"/>
      <sheetName val="23_陰井1"/>
      <sheetName val="25_排水溝1"/>
      <sheetName val="27_砌花台牆_導盲磚1"/>
      <sheetName val="29_鋼管鷹架1"/>
      <sheetName val="工程預算書1_(2)1"/>
      <sheetName val="37擋土牆_休憩亭1"/>
      <sheetName val="舖設透層,密級配瀝青混凝土面層_1"/>
      <sheetName val="19_AC,花岡石板舖面1"/>
      <sheetName val="21_漿砌花岡石_高壓混凝土1"/>
      <sheetName val="23_黃木紋石,步石1"/>
      <sheetName val="25_景觀花台,導盲磚1"/>
      <sheetName val="31_花岡石牆板,人行道1"/>
      <sheetName val="33_步道階梯,景石(1)1"/>
      <sheetName val="39__配電控制1"/>
      <sheetName val="41__導線埋設,100W-11"/>
      <sheetName val="43_景觀庭園燈60-1,60-5_(3)1"/>
      <sheetName val="1_挖方_,_回填方3"/>
      <sheetName val="3_遠運棄方,填碎石級配3"/>
      <sheetName val="5_水泥砂漿,210混凝土3"/>
      <sheetName val="7_140_混凝土_鋼筋3"/>
      <sheetName val="9_甲種模板,舖底基礎3"/>
      <sheetName val="13_鑄鐵蓋,基地遷移3"/>
      <sheetName val="15_U型集水溝,明溝加蓋3"/>
      <sheetName val="17_集水井_景觀護坡3"/>
      <sheetName val="19_紐澤西護欄_擋土牆3"/>
      <sheetName val="21_圓形花臺_,浪型花臺3"/>
      <sheetName val="23_不鏽鋼欄杆3"/>
      <sheetName val="_計算表13"/>
      <sheetName val="預算書2_(2)3"/>
      <sheetName val="預算書3_(2)3"/>
      <sheetName val="1_放樣,挖土方3"/>
      <sheetName val="3_回填方_回填級配料3"/>
      <sheetName val="5_運棄方,2000混凝土3"/>
      <sheetName val="9_砌玻璃磚,3000混凝土3"/>
      <sheetName val="11_普通模板,鋼筋加工組立3"/>
      <sheetName val="13_壁磚,地磚3"/>
      <sheetName val="15_止滑地磚,大理石片3"/>
      <sheetName val="17_滑地磚,油性水漆3"/>
      <sheetName val="19_防水粉刷,樹脂3"/>
      <sheetName val="21_恩德霖魚鱗片_粗飾3"/>
      <sheetName val="23_陰井3"/>
      <sheetName val="25_排水溝3"/>
      <sheetName val="27_砌花台牆_導盲磚3"/>
      <sheetName val="29_鋼管鷹架3"/>
      <sheetName val="工程預算書1_(2)3"/>
      <sheetName val="37擋土牆_休憩亭3"/>
      <sheetName val="舖設透層,密級配瀝青混凝土面層_3"/>
      <sheetName val="19_AC,花岡石板舖面3"/>
      <sheetName val="21_漿砌花岡石_高壓混凝土3"/>
      <sheetName val="23_黃木紋石,步石3"/>
      <sheetName val="25_景觀花台,導盲磚3"/>
      <sheetName val="31_花岡石牆板,人行道3"/>
      <sheetName val="33_步道階梯,景石(1)3"/>
      <sheetName val="39__配電控制3"/>
      <sheetName val="41__導線埋設,100W-13"/>
      <sheetName val="43_景觀庭園燈60-1,60-5_(3)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預算書封面 "/>
      <sheetName val="第1明細表"/>
      <sheetName val="公館基本單價1"/>
      <sheetName val="公館基本單價2"/>
      <sheetName val="公館基本單價3"/>
      <sheetName val="勞安"/>
      <sheetName val="環保"/>
      <sheetName val="挖填方(堤防)"/>
      <sheetName val="回填方(堤防"/>
      <sheetName val="工作表1"/>
    </sheetNames>
    <sheetDataSet>
      <sheetData sheetId="0">
        <row r="7">
          <cell r="E7" t="str">
            <v>前東港排水治理工程</v>
          </cell>
        </row>
        <row r="8">
          <cell r="M8" t="str">
            <v>嘉義縣布袋鎮</v>
          </cell>
        </row>
        <row r="9">
          <cell r="M9" t="str">
            <v xml:space="preserve"> 107年8月 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8">
          <cell r="C8">
            <v>0</v>
          </cell>
        </row>
      </sheetData>
      <sheetData sheetId="8"/>
      <sheetData sheetId="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數量計算表(乙)"/>
      <sheetName val="預算書送審單"/>
      <sheetName val="預算書封面"/>
      <sheetName val="資料輸入"/>
      <sheetName val="發包.材料費"/>
      <sheetName val="第一號明細表"/>
      <sheetName val="第二三四號明細表"/>
      <sheetName val="備用"/>
      <sheetName val="工程設計標準"/>
      <sheetName val="單價分析數量輸入"/>
      <sheetName val="單價分析表1"/>
      <sheetName val="單價分析表2"/>
      <sheetName val="單價分析表3"/>
      <sheetName val="單價分析表4"/>
      <sheetName val="單價分析表5"/>
      <sheetName val="單價分析表6"/>
      <sheetName val="單價分析表7"/>
      <sheetName val="備用1"/>
      <sheetName val="備用2"/>
      <sheetName val="備用3"/>
      <sheetName val="備用4"/>
      <sheetName val="工程數量計算表〈丙〉"/>
      <sheetName val="工程數量計算表〈丙〉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計畫說明書"/>
      <sheetName val="工程預算書1"/>
      <sheetName val="工程預算書2"/>
      <sheetName val="1.挖方 , 回填方"/>
      <sheetName val="3.遠運棄方,填碎石級配"/>
      <sheetName val="5.水泥砂漿,210混凝土"/>
      <sheetName val="7.140 混凝土.鋼筋"/>
      <sheetName val="9.甲種模板,舖底基礎"/>
      <sheetName val="11,洗石子斬假石"/>
      <sheetName val="13.鑄鐵蓋,基地遷移"/>
      <sheetName val="15.U型集水溝,明溝加蓋"/>
      <sheetName val="17.集水井.景觀護坡"/>
      <sheetName val="19.紐澤西護欄.擋土牆"/>
      <sheetName val="21.圓形花臺 ,浪型花臺"/>
      <sheetName val="23.不鏽鋼欄杆"/>
      <sheetName val=" 計算表1"/>
      <sheetName val="預算書1"/>
      <sheetName val="預算書2 (2)"/>
      <sheetName val="預算書3 (2)"/>
      <sheetName val="1.放樣,挖土方"/>
      <sheetName val="3.回填方.回填級配料"/>
      <sheetName val="5.運棄方,2000混凝土"/>
      <sheetName val="7夯排卵石,砌磚"/>
      <sheetName val="9.砌玻璃磚,3000混凝土"/>
      <sheetName val="11.普通模板,鋼筋加工組立"/>
      <sheetName val="13.壁磚,地磚"/>
      <sheetName val="15.止滑地磚,大理石片"/>
      <sheetName val="17.滑地磚,油性水漆"/>
      <sheetName val="19.防水粉刷,樹脂"/>
      <sheetName val="21.恩德霖魚鱗片.粗飾"/>
      <sheetName val="23.陰井"/>
      <sheetName val="25.排水溝"/>
      <sheetName val="27.砌花台牆.導盲磚"/>
      <sheetName val="29.鋼管鷹架"/>
      <sheetName val="工程預算書1 (2)"/>
      <sheetName val="預算書2"/>
      <sheetName val="預算書3"/>
      <sheetName val="預算書4"/>
      <sheetName val="預算書5"/>
      <sheetName val="預算書6"/>
      <sheetName val="預算書7"/>
      <sheetName val="預算書8"/>
      <sheetName val="預算書9"/>
      <sheetName val="預算書10"/>
      <sheetName val="37擋土牆.休憩亭"/>
      <sheetName val="舖設透層,密級配瀝青混凝土面層 "/>
      <sheetName val="19.AC,花岡石板舖面"/>
      <sheetName val="21.漿砌花岡石.高壓混凝土"/>
      <sheetName val="23.黃木紋石,步石"/>
      <sheetName val="25.景觀花台,導盲磚"/>
      <sheetName val="31.花岡石牆板,人行道"/>
      <sheetName val="33.步道階梯,景石(1)"/>
      <sheetName val="39. 配電控制"/>
      <sheetName val="41..導線埋設,100W-1"/>
      <sheetName val="43.景觀庭園燈60-1,60-5 (3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單價分析表(1-11)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工程預算書"/>
      <sheetName val="經費總表"/>
      <sheetName val="分年經費"/>
      <sheetName val="成本明細(方案一)"/>
      <sheetName val="成本明細(方案二)"/>
      <sheetName val="基本單價說明"/>
      <sheetName val="基本資料表"/>
      <sheetName val="BGT-GATE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A6-面積數量計算表"/>
      <sheetName val="A7體積數量計算表"/>
      <sheetName val="右岸"/>
      <sheetName val="左岸"/>
      <sheetName val="左右岸"/>
      <sheetName val="右排"/>
      <sheetName val="左No1"/>
      <sheetName val="左No2"/>
      <sheetName val="合計"/>
      <sheetName val="預算明細表"/>
      <sheetName val="項目分析(備用)"/>
      <sheetName val="項目分析"/>
      <sheetName val="資料庫"/>
      <sheetName val="發包檔"/>
      <sheetName val="C"/>
      <sheetName val="材料表"/>
      <sheetName val="計算工作表"/>
      <sheetName val="數量表"/>
      <sheetName val="預算明細"/>
      <sheetName val="單價表"/>
      <sheetName val="災-86"/>
      <sheetName val="單價分析"/>
      <sheetName val="預算"/>
      <sheetName val="封面"/>
      <sheetName val="天氣"/>
      <sheetName val="預定工期計算"/>
      <sheetName val="重要事項紀錄"/>
      <sheetName val="0822"/>
      <sheetName val="0823"/>
      <sheetName val="0824"/>
      <sheetName val="0825"/>
      <sheetName val="0826"/>
      <sheetName val="0827"/>
      <sheetName val="0828"/>
      <sheetName val="0829"/>
      <sheetName val="0830"/>
      <sheetName val="0831"/>
      <sheetName val="0901"/>
      <sheetName val="0902"/>
      <sheetName val="0903"/>
      <sheetName val="0904"/>
      <sheetName val="0905"/>
      <sheetName val="0906"/>
      <sheetName val="0907"/>
      <sheetName val="0908"/>
      <sheetName val="0909"/>
      <sheetName val="0910"/>
      <sheetName val="0911"/>
      <sheetName val="0912"/>
      <sheetName val="0913"/>
      <sheetName val="0914"/>
      <sheetName val="0915"/>
      <sheetName val="0916"/>
      <sheetName val="0917"/>
      <sheetName val="0918"/>
      <sheetName val="0919"/>
      <sheetName val="0920"/>
      <sheetName val="0921"/>
      <sheetName val="0922"/>
      <sheetName val="0923"/>
      <sheetName val="0924"/>
      <sheetName val="0925"/>
      <sheetName val="0926"/>
      <sheetName val="0927"/>
      <sheetName val="0928"/>
      <sheetName val="0929"/>
      <sheetName val="0930"/>
      <sheetName val="1001"/>
      <sheetName val="1002"/>
      <sheetName val="1003"/>
      <sheetName val="1004"/>
      <sheetName val="1005"/>
      <sheetName val="1006"/>
      <sheetName val="1007"/>
      <sheetName val="1008"/>
      <sheetName val="1009"/>
      <sheetName val="1010"/>
      <sheetName val="1011"/>
      <sheetName val="1012"/>
      <sheetName val="1013"/>
      <sheetName val="單價2"/>
      <sheetName val="委拖設計核章欄 "/>
      <sheetName val="說明書"/>
      <sheetName val="進度表 (2)"/>
      <sheetName val="契約總表"/>
      <sheetName val="契約詳細表"/>
      <sheetName val="試驗費"/>
      <sheetName val="數量計算表 (2)"/>
      <sheetName val="路寬表(162甲)"/>
      <sheetName val="路寬表(166)"/>
      <sheetName val="路寬表(169)"/>
      <sheetName val="變更"/>
      <sheetName val="Sheet2"/>
      <sheetName val="Sheet1"/>
      <sheetName val="工程預算書_"/>
      <sheetName val="基礎"/>
      <sheetName val="工程預算書_1"/>
      <sheetName val="工程預算書_2"/>
      <sheetName val="預1"/>
      <sheetName val="單價"/>
      <sheetName val="_x0000_"/>
      <sheetName val="?"/>
      <sheetName val="setting"/>
      <sheetName val="修正契約總價表"/>
      <sheetName val="工程變更設計說明書"/>
      <sheetName val="變更設計總表"/>
      <sheetName val="變更設計詳細表"/>
      <sheetName val="數量計算表"/>
      <sheetName val="承商議定書(議價前)"/>
      <sheetName val="新增單價分析表(議價前)"/>
      <sheetName val="承商議定書(空白標單)"/>
      <sheetName val="新增單價分析表(空白標單)"/>
      <sheetName val="標線計算表(不印)"/>
      <sheetName val="試驗總表(不印)"/>
      <sheetName val="Ｎ"/>
      <sheetName val="總表"/>
      <sheetName val="工程預算書_3"/>
      <sheetName val="工程預算書_4"/>
      <sheetName val="委拖設計核章欄_"/>
      <sheetName val="進度表_(2)"/>
      <sheetName val="數量計算表_(2)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 refreshError="1"/>
      <sheetData sheetId="61"/>
      <sheetData sheetId="62"/>
      <sheetData sheetId="63"/>
      <sheetData sheetId="64" refreshError="1"/>
      <sheetData sheetId="65"/>
      <sheetData sheetId="66"/>
      <sheetData sheetId="67"/>
      <sheetData sheetId="68"/>
      <sheetData sheetId="69"/>
      <sheetData sheetId="70" refreshError="1"/>
      <sheetData sheetId="71" refreshError="1"/>
      <sheetData sheetId="72" refreshError="1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/>
      <sheetData sheetId="121"/>
      <sheetData sheetId="122"/>
      <sheetData sheetId="123"/>
      <sheetData sheetId="124"/>
      <sheetData sheetId="125"/>
      <sheetData sheetId="126"/>
      <sheetData sheetId="127" refreshError="1"/>
      <sheetData sheetId="128" refreshError="1"/>
      <sheetData sheetId="129"/>
      <sheetData sheetId="130" refreshError="1"/>
      <sheetData sheetId="131"/>
      <sheetData sheetId="132"/>
      <sheetData sheetId="133"/>
      <sheetData sheetId="134"/>
      <sheetData sheetId="135" refreshError="1"/>
      <sheetData sheetId="136" refreshError="1"/>
      <sheetData sheetId="137" refreshError="1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 refreshError="1"/>
      <sheetData sheetId="151" refreshError="1"/>
      <sheetData sheetId="152" refreshError="1"/>
      <sheetData sheetId="153"/>
      <sheetData sheetId="154" refreshError="1"/>
      <sheetData sheetId="155"/>
      <sheetData sheetId="156"/>
      <sheetData sheetId="15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單價分析表_1_11_"/>
      <sheetName val="基本資料表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預算資源統計表"/>
      <sheetName val="預算書10"/>
      <sheetName val="_x0000_"/>
      <sheetName val="Sheet2"/>
      <sheetName val="單價分析表"/>
      <sheetName val="合約2"/>
      <sheetName val="單價總表"/>
      <sheetName val="工程預算書"/>
      <sheetName val="BGT-GATE"/>
      <sheetName val="右岸"/>
      <sheetName val="左岸"/>
      <sheetName val="左右岸"/>
      <sheetName val="右排"/>
      <sheetName val="左No1"/>
      <sheetName val="左No2"/>
      <sheetName val="合計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?"/>
      <sheetName val="預算明細表"/>
      <sheetName val="表"/>
      <sheetName val="單價"/>
      <sheetName val="_"/>
      <sheetName val="單價分析43-C"/>
      <sheetName val="B"/>
      <sheetName val="E85D014"/>
      <sheetName val="單價分析(包商用)"/>
      <sheetName val="單價分析"/>
      <sheetName val="項目分析(備用)"/>
      <sheetName val="項目分析"/>
      <sheetName val="資料庫2"/>
      <sheetName val="水理計算"/>
      <sheetName val="總表"/>
      <sheetName val="數量表"/>
      <sheetName val="預算明細"/>
      <sheetName val="橋面版鋼筋"/>
      <sheetName val="材料表"/>
      <sheetName val="鳳農土"/>
      <sheetName val="預算"/>
      <sheetName val="封面"/>
      <sheetName val="工程基本資料"/>
      <sheetName val="明細表"/>
      <sheetName val="_x005f_x0000_"/>
      <sheetName val="投單"/>
      <sheetName val="基本單價"/>
      <sheetName val="工程預算書_"/>
      <sheetName val="G-2分隔島、滯洪池數量"/>
      <sheetName val="G-1綠地數量"/>
      <sheetName val="變更預算明細表"/>
      <sheetName val="03單價分析"/>
      <sheetName val="TYP1"/>
      <sheetName val="明細"/>
      <sheetName val="9數量計算"/>
      <sheetName val="計算表"/>
      <sheetName val="數量計算-丙"/>
      <sheetName val="setting"/>
      <sheetName val="修正契約總價表"/>
      <sheetName val="工程變更設計說明書"/>
      <sheetName val="變更設計總表"/>
      <sheetName val="變更設計詳細表"/>
      <sheetName val="數量計算表"/>
      <sheetName val="承商議定書(議價前)"/>
      <sheetName val="新增單價分析表(議價前)"/>
      <sheetName val="承商議定書(空白標單)"/>
      <sheetName val="新增單價分析表(空白標單)"/>
      <sheetName val="標線計算表(不印)"/>
      <sheetName val="試驗總表(不印)"/>
      <sheetName val="計算工作表"/>
      <sheetName val="工程預算書_1"/>
      <sheetName val="土木"/>
      <sheetName val="單價表"/>
      <sheetName val="資料表"/>
      <sheetName val="工程預算書_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/>
      <sheetData sheetId="99" refreshError="1"/>
      <sheetData sheetId="100" refreshError="1"/>
      <sheetData sheetId="101" refreshError="1"/>
      <sheetData sheetId="10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合約2"/>
      <sheetName val="預算書"/>
      <sheetName val="BGT-GATE"/>
      <sheetName val="預算明細表"/>
      <sheetName val="工程預算書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單價總表"/>
      <sheetName val="基本資料表"/>
      <sheetName val="工程預算書 "/>
      <sheetName val="鋼筋明細表"/>
      <sheetName val="計劃書"/>
      <sheetName val="費率表"/>
      <sheetName val="工料單價表"/>
      <sheetName val="材料單價"/>
      <sheetName val="工程數量計算"/>
      <sheetName val="土石方"/>
      <sheetName val="鋼筋統計表"/>
      <sheetName val="Sheet2"/>
      <sheetName val="工程預算書_"/>
      <sheetName val="代天宮前大排水溝改善工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基本資料表"/>
      <sheetName val="工程預算書 "/>
      <sheetName val="工程預算書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預算明細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程預算書"/>
      <sheetName val="A1"/>
      <sheetName val="A2"/>
      <sheetName val="A3"/>
      <sheetName val="人孔1"/>
      <sheetName val="人孔2"/>
      <sheetName val="人孔3"/>
      <sheetName val="道路側溝"/>
      <sheetName val="道路標誌"/>
      <sheetName val="預算明細表"/>
      <sheetName val="單價分析"/>
      <sheetName val="計算表"/>
      <sheetName val="統計表"/>
      <sheetName val="計算總表 "/>
      <sheetName val="計畫說明書"/>
      <sheetName val="進度表"/>
      <sheetName val="預算書"/>
      <sheetName val="審查意見及回覆表"/>
      <sheetName val="封面"/>
      <sheetName val="資料庫"/>
      <sheetName val="Sheet1"/>
      <sheetName val="工程預算書 "/>
      <sheetName val="工程數量計算表"/>
      <sheetName val="工程預算書 -空白"/>
      <sheetName val="單價分析-空白"/>
      <sheetName val="基本資料"/>
      <sheetName val="Sheet2"/>
      <sheetName val="Sheet3"/>
      <sheetName val="工程預算"/>
      <sheetName val="工程預"/>
      <sheetName val="工程"/>
      <sheetName val="工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(1-11)"/>
      <sheetName val="封面 (結算)"/>
      <sheetName val="數量表"/>
      <sheetName val="封面 (決算) "/>
      <sheetName val="驗收證明"/>
      <sheetName val="驗收紀錄表(1)"/>
      <sheetName val="驗收紀錄表 (2)"/>
      <sheetName val="竣工驗收表"/>
      <sheetName val="結算明細表(竣)"/>
      <sheetName val="決算明細(直)"/>
      <sheetName val="決算明細表"/>
      <sheetName val="工程數量表"/>
      <sheetName val="預算"/>
      <sheetName val="程預算書"/>
      <sheetName val="算書"/>
      <sheetName val="書"/>
      <sheetName val="初稿審查意見處理表"/>
      <sheetName val="初稿審核單"/>
      <sheetName val="工程計畫說明書"/>
      <sheetName val="預算書總表"/>
      <sheetName val="主體工程費"/>
      <sheetName val="雜項工程費"/>
      <sheetName val="環境保護措施費"/>
      <sheetName val="品質檢驗費"/>
      <sheetName val="勞工安全衛生費"/>
      <sheetName val="單價分析表1"/>
      <sheetName val="單價分析表2"/>
      <sheetName val="單價分析表3 "/>
      <sheetName val="單價分析表4"/>
      <sheetName val="單價分析表5"/>
      <sheetName val="單價分析表6"/>
      <sheetName val="單價計算表"/>
      <sheetName val="工程數量總表A4"/>
      <sheetName val="數量計算表"/>
      <sheetName val="土石方計算表"/>
      <sheetName val="計算空污費表"/>
      <sheetName val="空污費"/>
      <sheetName val="工期分析表"/>
      <sheetName val="預定進度表"/>
      <sheetName val="注意事項"/>
      <sheetName val="施工補充說明書封面"/>
      <sheetName val="剩餘土石方運棄計畫表"/>
      <sheetName val="各處所地點"/>
      <sheetName val="單價分析表 "/>
      <sheetName val="單價分析表"/>
      <sheetName val="合約2"/>
      <sheetName val="變更單價分析表 "/>
      <sheetName val="單價總表"/>
      <sheetName val="單價"/>
      <sheetName val="數量明細表"/>
      <sheetName val="實際值-2006.02.06"/>
      <sheetName val="單價分析(包商用)"/>
      <sheetName val="土木"/>
      <sheetName val="單價表"/>
      <sheetName val="資料表"/>
      <sheetName val="材料表"/>
      <sheetName val="統2"/>
      <sheetName val="接法(估驗)"/>
      <sheetName val="AC"/>
      <sheetName val="預算單價"/>
      <sheetName val="總表"/>
      <sheetName val="計1"/>
      <sheetName val="計2"/>
      <sheetName val="計3"/>
      <sheetName val="計4"/>
      <sheetName val="trans"/>
      <sheetName val="主畫面"/>
      <sheetName val="預算資源統計表"/>
      <sheetName val="發包檔"/>
      <sheetName val="計算總表_"/>
      <sheetName val="工程預算書_"/>
      <sheetName val="工程預算書_-空白"/>
      <sheetName val="封面_(結算)"/>
      <sheetName val="封面_(決算)_"/>
      <sheetName val="驗收紀錄表_(2)"/>
      <sheetName val="單價分析表3_"/>
      <sheetName val="單價分析表_"/>
      <sheetName val="變更單價分析表_"/>
      <sheetName val="實際值-2006_02_06"/>
      <sheetName val="計算總表_1"/>
      <sheetName val="工程預算書_1"/>
      <sheetName val="工程預算書_-空白1"/>
      <sheetName val="封面_(結算)1"/>
      <sheetName val="封面_(決算)_1"/>
      <sheetName val="驗收紀錄表_(2)1"/>
      <sheetName val="單價分析表3_1"/>
      <sheetName val="單價分析表_1"/>
      <sheetName val="變更單價分析表_1"/>
      <sheetName val="實際值-2006_02_061"/>
      <sheetName val="計算總表_2"/>
      <sheetName val="工程預算書_2"/>
      <sheetName val="工程預算書_-空白2"/>
      <sheetName val="封面_(結算)2"/>
      <sheetName val="封面_(決算)_2"/>
      <sheetName val="驗收紀錄表_(2)2"/>
      <sheetName val="單價分析表3_2"/>
      <sheetName val="單價分析表_2"/>
      <sheetName val="變更單價分析表_2"/>
      <sheetName val="實際值-2006_02_062"/>
      <sheetName val="計算總表_3"/>
      <sheetName val="工程預算書_3"/>
      <sheetName val="工程預算書_-空白3"/>
      <sheetName val="封面_(結算)3"/>
      <sheetName val="封面_(決算)_3"/>
      <sheetName val="驗收紀錄表_(2)3"/>
      <sheetName val="單價分析表3_3"/>
      <sheetName val="單價分析表_3"/>
      <sheetName val="變更單價分析表_3"/>
      <sheetName val="實際值-2006_02_063"/>
      <sheetName val="基本單價"/>
      <sheetName val="施工日誌"/>
      <sheetName val="計算總表_4"/>
      <sheetName val="工程預算書_4"/>
      <sheetName val="工程預算書_-空白4"/>
      <sheetName val="封面_(結算)4"/>
      <sheetName val="封面_(決算)_4"/>
      <sheetName val="驗收紀錄表_(2)4"/>
      <sheetName val="單價分析表3_4"/>
      <sheetName val="單價分析表_4"/>
      <sheetName val="計算總表_5"/>
      <sheetName val="工程預算書_5"/>
      <sheetName val="工程預算書_-空白5"/>
      <sheetName val="封面_(結算)5"/>
      <sheetName val="封面_(決算)_5"/>
      <sheetName val="驗收紀錄表_(2)5"/>
      <sheetName val="單價分析表3_5"/>
      <sheetName val="單價分析表_5"/>
      <sheetName val="變更單價分析表_4"/>
      <sheetName val="計算總表_7"/>
      <sheetName val="工程預算書_7"/>
      <sheetName val="工程預算書_-空白7"/>
      <sheetName val="封面_(結算)7"/>
      <sheetName val="封面_(決算)_7"/>
      <sheetName val="驗收紀錄表_(2)7"/>
      <sheetName val="單價分析表3_7"/>
      <sheetName val="單價分析表_7"/>
      <sheetName val="變更單價分析表_6"/>
      <sheetName val="計算總表_6"/>
      <sheetName val="工程預算書_6"/>
      <sheetName val="工程預算書_-空白6"/>
      <sheetName val="封面_(結算)6"/>
      <sheetName val="封面_(決算)_6"/>
      <sheetName val="驗收紀錄表_(2)6"/>
      <sheetName val="單價分析表3_6"/>
      <sheetName val="單價分析表_6"/>
      <sheetName val="變更單價分析表_5"/>
      <sheetName val="計算總表_8"/>
      <sheetName val="工程預算書_8"/>
      <sheetName val="工程預算書_-空白8"/>
      <sheetName val="封面_(結算)8"/>
      <sheetName val="封面_(決算)_8"/>
      <sheetName val="驗收紀錄表_(2)8"/>
      <sheetName val="單價分析表3_8"/>
      <sheetName val="單價分析表_8"/>
      <sheetName val="變更單價分析表_7"/>
      <sheetName val="計算總表_9"/>
      <sheetName val="工程預算書_9"/>
      <sheetName val="工程預算書_-空白9"/>
      <sheetName val="封面_(結算)9"/>
      <sheetName val="封面_(決算)_9"/>
      <sheetName val="驗收紀錄表_(2)9"/>
      <sheetName val="單價分析表3_9"/>
      <sheetName val="單價分析表_9"/>
      <sheetName val="變更單價分析表_8"/>
      <sheetName val="計算總表_14"/>
      <sheetName val="工程預算書_14"/>
      <sheetName val="工程預算書_-空白14"/>
      <sheetName val="封面_(結算)14"/>
      <sheetName val="封面_(決算)_14"/>
      <sheetName val="驗收紀錄表_(2)14"/>
      <sheetName val="單價分析表3_14"/>
      <sheetName val="單價分析表_14"/>
      <sheetName val="變更單價分析表_13"/>
      <sheetName val="計算總表_12"/>
      <sheetName val="工程預算書_12"/>
      <sheetName val="工程預算書_-空白12"/>
      <sheetName val="封面_(結算)12"/>
      <sheetName val="封面_(決算)_12"/>
      <sheetName val="驗收紀錄表_(2)12"/>
      <sheetName val="單價分析表3_12"/>
      <sheetName val="單價分析表_12"/>
      <sheetName val="變更單價分析表_11"/>
      <sheetName val="計算總表_11"/>
      <sheetName val="工程預算書_11"/>
      <sheetName val="工程預算書_-空白11"/>
      <sheetName val="封面_(結算)11"/>
      <sheetName val="封面_(決算)_11"/>
      <sheetName val="驗收紀錄表_(2)11"/>
      <sheetName val="單價分析表3_11"/>
      <sheetName val="單價分析表_11"/>
      <sheetName val="變更單價分析表_10"/>
      <sheetName val="計算總表_10"/>
      <sheetName val="工程預算書_10"/>
      <sheetName val="工程預算書_-空白10"/>
      <sheetName val="封面_(結算)10"/>
      <sheetName val="封面_(決算)_10"/>
      <sheetName val="驗收紀錄表_(2)10"/>
      <sheetName val="單價分析表3_10"/>
      <sheetName val="單價分析表_10"/>
      <sheetName val="變更單價分析表_9"/>
      <sheetName val="計算總表_13"/>
      <sheetName val="工程預算書_13"/>
      <sheetName val="工程預算書_-空白13"/>
      <sheetName val="封面_(結算)13"/>
      <sheetName val="封面_(決算)_13"/>
      <sheetName val="驗收紀錄表_(2)13"/>
      <sheetName val="單價分析表3_13"/>
      <sheetName val="單價分析表_13"/>
      <sheetName val="變更單價分析表_12"/>
      <sheetName val="R&amp;C&amp;T"/>
      <sheetName val="U"/>
      <sheetName val="數量統計表 "/>
      <sheetName val="F-L擋土牆"/>
      <sheetName val="\01-設計\03-設計(發包版)\預算書\工程預算書]工程預"/>
      <sheetName val="\01-設計\03-設計(發包版)\預算書\工程預算書]A1"/>
      <sheetName val="\01-設計\03-設計(發包版)\預算書\工程預算書]A2"/>
      <sheetName val="\01-設計\03-設計(發包版)\預算書\工程預算書]A3"/>
      <sheetName val="\01-設計\03-設計(發包版)\預算書\工程預算書]人孔1"/>
      <sheetName val="\01-設計\03-設計(發包版)\預算書\工程預算書]人孔2"/>
      <sheetName val="\01-設計\03-設計(發包版)\預算書\工程預算書]人孔3"/>
      <sheetName val="\01-設計\03-設計(發包版)\預算書\工程預算書]道路側"/>
      <sheetName val="\01-設計\03-設計(發包版)\預算書\工程預算書]道路標"/>
      <sheetName val="\01-設計\03-設計(發包版)\預算書\工程預算書]預算明"/>
      <sheetName val="\01-設計\03-設計(發包版)\預算書\工程預算書]單價分"/>
      <sheetName val="\01-設計\03-設計(發包版)\預算書\工程預算書]計算表"/>
      <sheetName val="\01-設計\03-設計(發包版)\預算書\工程預算書]統計表"/>
      <sheetName val="\01-設計\03-設計(發包版)\預算書\工程預算書]計算總"/>
      <sheetName val="\01-設計\03-設計(發包版)\預算書\工程預算書]計畫說"/>
      <sheetName val="\01-設計\03-設計(發包版)\預算書\工程預算書]進度表"/>
      <sheetName val="\01-設計\03-設計(發包版)\預算書\工程預算書]預算書"/>
      <sheetName val="\01-設計\03-設計(發包版)\預算書\工程預算書]工程"/>
      <sheetName val="\01-設計\03-設計(發包版)\預算書\工程預算書]工"/>
      <sheetName val="\01-設計\03-設計(發包版)\預算書\工程預算書]She"/>
      <sheetName val="\01-設計\03-設計(發包版)\預算書\工程預算書]審查意"/>
      <sheetName val="\01-設計\03-設計(發包版)\預算書\工程預算書]封面"/>
      <sheetName val="\01-設計\03-設計(發包版)\預算書\工程預算書]資料庫"/>
      <sheetName val="\01-設計\03-設計(發包版)\預算書\工程預算書]工程數"/>
      <sheetName val="\01-設計\03-設計(發包版)\預算書\工程預算書]基本資"/>
      <sheetName val="\01-設計\03-設計(發包版)\預算書\工程預算書]12("/>
      <sheetName val="\01-設計\03-設計(發包版)\預算書\工程預算書]1(1"/>
      <sheetName val="\01-設計\03-設計(發包版)\預算書\工程預算書]1(2"/>
      <sheetName val="\01-設計\03-設計(發包版)\預算書\工程預算書]1(3"/>
      <sheetName val="\01-設計\03-設計(發包版)\預算書\工程預算書]1(4"/>
      <sheetName val="\01-設計\03-設計(發包版)\預算書\工程預算書]1(5"/>
      <sheetName val="\01-設計\03-設計(發包版)\預算書\工程預算書]1(6"/>
      <sheetName val="\01-設計\03-設計(發包版)\預算書\工程預算書]封面 "/>
      <sheetName val="\01-設計\03-設計(發包版)\預算書\工程預算書]數量表"/>
      <sheetName val="\01-設計\03-設計(發包版)\預算書\工程預算書]驗收證"/>
      <sheetName val="\01-設計\03-設計(發包版)\預算書\工程預算書]驗收紀"/>
      <sheetName val="\01-設計\03-設計(發包版)\預算書\工程預算書]竣工驗"/>
      <sheetName val="\01-設計\03-設計(發包版)\預算書\工程預算書]結算明"/>
      <sheetName val="\01-設計\03-設計(發包版)\預算書\工程預算書]決算明"/>
      <sheetName val="\01-設計\03-設計(發包版)\預算書\工程預算書]初稿審"/>
      <sheetName val="\01-設計\03-設計(發包版)\預算書\工程預算書]工程計"/>
      <sheetName val="\01-設計\03-設計(發包版)\預算書\工程預算書]主體工"/>
      <sheetName val="\01-設計\03-設計(發包版)\預算書\工程預算書]雜項工"/>
      <sheetName val="\01-設計\03-設計(發包版)\預算書\工程預算書]環境保"/>
      <sheetName val="\01-設計\03-設計(發包版)\預算書\工程預算書]品質檢"/>
      <sheetName val="\01-設計\03-設計(發包版)\預算書\工程預算書]勞工安"/>
      <sheetName val="\01-設計\03-設計(發包版)\預算書\工程預算書]單價計"/>
      <sheetName val="\01-設計\03-設計(發包版)\預算書\工程預算書]數量計"/>
      <sheetName val="\01-設計\03-設計(發包版)\預算書\工程預算書]土石方"/>
      <sheetName val="\01-設計\03-設計(發包版)\預算書\工程預算書]計算空"/>
      <sheetName val="\01-設計\03-設計(發包版)\預算書\工程預算書]空污費"/>
      <sheetName val="\01-設計\03-設計(發包版)\預算書\工程預算書]工期分"/>
      <sheetName val="\01-設計\03-設計(發包版)\預算書\工程預算書]預定進"/>
      <sheetName val="\01-設計\03-設計(發包版)\預算書\工程預算書]注意事"/>
      <sheetName val="\01-設計\03-設計(發包版)\預算書\工程預算書]施工補"/>
      <sheetName val="\01-設計\03-設計(發包版)\預算書\工程預算書]剩餘土"/>
      <sheetName val="\01-設計\03-設計(發包版)\預算書\工程預算書]各處所"/>
      <sheetName val="\01-設計\03-設計(發包版)\預算書\工程預算書]程預算"/>
      <sheetName val="\01-設計\03-設計(發包版)\預算書\工程預算書]算書"/>
      <sheetName val="\01-設計\03-設計(發包版)\預算書\工程預算書]書"/>
      <sheetName val="\01-設計\03-設計(發包版)\預算書\工程預算書]預算"/>
      <sheetName val="\01-設計\03-設計(發包版)\預算書\工程預算書]\01"/>
      <sheetName val="\01-設計\03-設計(發包版)\預算書\工程預算書]__2"/>
      <sheetName val="\01-設計\03-設計(發包版)\預算書\工程預算書]__3"/>
      <sheetName val="\01-設計\03-設計(發包版)\預算書\工程預算書]__4"/>
      <sheetName val="\01-設計\03-設計(發包版)\預算書\工程預算書]__5"/>
      <sheetName val="\01-設計\03-設計(發包版)\預算書\工程預算書]__6"/>
      <sheetName val="\01-設計\03-設計(發包版)\預算書\工程預算書]__7"/>
      <sheetName val="\01-設計\03-設計(發包版)\預算書\工程預算書]__8"/>
      <sheetName val="\01-設計\03-設計(發包版)\預算書\工程預算書]__9"/>
      <sheetName val="\01-設計\03-設計(發包版)\預算書\工程預算書]S_2"/>
      <sheetName val="\01-設計\03-設計(發包版)\預算書\工程預算書]S_3"/>
      <sheetName val="\01-設計\03-設計(發包版)\預算書\工程預算書]S_4"/>
      <sheetName val="\01-設計\03-設計(發包版)\預算書\工程預算書]_10"/>
      <sheetName val="\01-設計\03-設計(發包版)\預算書\工程預算書]_11"/>
      <sheetName val="\01-設計\03-設計(發包版)\預算書\工程預算書]_12"/>
      <sheetName val="\01-設計\03-設計(發包版)\預算書\工程預算書]_13"/>
      <sheetName val="\01-設計\03-設計(發包版)\預算書\工程預算書]_14"/>
      <sheetName val="\01-設計\03-設計(發包版)\預算書\工程預算書]_15"/>
      <sheetName val="\01-設計\03-設計(發包版)\預算書\工程預算書]1_2"/>
      <sheetName val="\01-設計\03-設計(發包版)\預算書\工程預算書]12"/>
      <sheetName val="\01-設計\03-設計(發包版)\預算書\工程預算書]13"/>
      <sheetName val="\01-設計\03-設計(發包版)\預算書\工程預算書]14"/>
      <sheetName val="\01-設計\03-設計(發包版)\預算書\工程預算書]15"/>
      <sheetName val="\01-設計\03-設計(發包版)\預算書\工程預算書]16"/>
      <sheetName val="\01-設計\03-設計(發包版)\預算書\工程預算書]17"/>
      <sheetName val="\01-設計\03-設計(發包版)\預算書\工程預算書]1_3"/>
      <sheetName val="\01-設計\03-設計(發包版)\預算書\工程預算書]1_4"/>
      <sheetName val="\01-設計\03-設計(發包版)\預算書\工程預算書]1_5"/>
      <sheetName val="\01-設計\03-設計(發包版)\預算書\工程預算書]1_6"/>
      <sheetName val="\01-設計\03-設計(發包版)\預算書\工程預算書]1_7"/>
      <sheetName val="\01-設計\03-設計(發包版)\預算書\工程預算書]1_8"/>
      <sheetName val="\01-設計\03-設計(發包版)\預算書\工程預算書]1_9"/>
      <sheetName val="\01-設計\03-設計(發包版)\預算書\工程預算書]_16"/>
      <sheetName val="\01-設計\03-設計(發包版)\預算書\工程預算書]_17"/>
      <sheetName val="\01-設計\03-設計(發包版)\預算書\工程預算書]_18"/>
      <sheetName val="\01-設計\03-設計(發包版)\預算書\工程預算書]_19"/>
      <sheetName val="\01-設計\03-設計(發包版)\預算書\工程預算書]_20"/>
      <sheetName val="\01-設計\03-設計(發包版)\預算書\工程預算書]_21"/>
      <sheetName val="\01-設計\03-設計(發包版)\預算書\工程預算書]_22"/>
      <sheetName val="\01-設計\03-設計(發包版)\預算書\工程預算書]_23"/>
      <sheetName val="\01-設計\03-設計(發包版)\預算書\工程預算書]_24"/>
      <sheetName val="\01-設計\03-設計(發包版)\預算書\工程預算書]_25"/>
      <sheetName val="\01-設計\03-設計(發包版)\預算書\工程預算書]_26"/>
      <sheetName val="\01-設計\03-設計(發包版)\預算書\工程預算書]_27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 refreshError="1"/>
      <sheetData sheetId="194" refreshError="1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/>
      <sheetData sheetId="269"/>
      <sheetData sheetId="270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/>
      <sheetData sheetId="277" refreshError="1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/>
      <sheetData sheetId="324"/>
      <sheetData sheetId="325"/>
      <sheetData sheetId="326"/>
      <sheetData sheetId="327"/>
      <sheetData sheetId="328" refreshError="1"/>
      <sheetData sheetId="329"/>
      <sheetData sheetId="330"/>
      <sheetData sheetId="33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/>
      <sheetData sheetId="340"/>
      <sheetData sheetId="341"/>
      <sheetData sheetId="342"/>
      <sheetData sheetId="343"/>
      <sheetData sheetId="344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工程預算書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基本資料表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資料庫"/>
      <sheetName val="單價2"/>
      <sheetName val="材料表"/>
      <sheetName val="預算明細表"/>
      <sheetName val="#REF"/>
      <sheetName val="右岸"/>
      <sheetName val="左岸"/>
      <sheetName val="左右岸"/>
      <sheetName val="右排"/>
      <sheetName val="左No1"/>
      <sheetName val="左No2"/>
      <sheetName val="合計"/>
      <sheetName val="_x0000_"/>
      <sheetName val="預2"/>
      <sheetName val="數量計算表(乙)"/>
      <sheetName val="工程預算書_1"/>
      <sheetName val="工程預算書_"/>
      <sheetName val="總表"/>
      <sheetName val="?"/>
      <sheetName val="_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/>
      <sheetData sheetId="52"/>
      <sheetData sheetId="53"/>
      <sheetData sheetId="54" refreshError="1"/>
      <sheetData sheetId="55" refreshError="1"/>
      <sheetData sheetId="5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程預算書"/>
      <sheetName val="單價分析表(1-11)"/>
      <sheetName val="資料庫"/>
      <sheetName val="預算書10"/>
    </sheetNames>
    <sheetDataSet>
      <sheetData sheetId="0" refreshError="1"/>
      <sheetData sheetId="1"/>
      <sheetData sheetId="2" refreshError="1"/>
      <sheetData sheetId="3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程預算書"/>
      <sheetName val="預算書費率表"/>
      <sheetName val="數量總表"/>
      <sheetName val="預定進度表"/>
      <sheetName val="基本單價說明"/>
      <sheetName val="空白工程預算書 "/>
      <sheetName val="單價分析表(1-6) "/>
      <sheetName val="空白工程預算書_7"/>
      <sheetName val="單價分析表(1-6)_7"/>
      <sheetName val="空白工程預算書_"/>
      <sheetName val="單價分析表(1-6)_"/>
      <sheetName val="BG8"/>
      <sheetName val="單價分析表(1-11)"/>
      <sheetName val="單價分析表"/>
      <sheetName val="工程預算書_4"/>
      <sheetName val="計算工作表"/>
      <sheetName val="總表"/>
      <sheetName val="預2"/>
      <sheetName val="預1"/>
      <sheetName val="單1"/>
      <sheetName val="明隧道結構數量"/>
      <sheetName val="路基數量"/>
      <sheetName val="基本資料"/>
      <sheetName val="初稿審查意見處理表"/>
      <sheetName val="初稿審核單"/>
      <sheetName val="封面"/>
      <sheetName val="工程計畫說明書"/>
      <sheetName val="預算書總表"/>
      <sheetName val="主體工程費"/>
      <sheetName val="雜項工程費"/>
      <sheetName val="環境保護措施費"/>
      <sheetName val="品質檢驗費"/>
      <sheetName val="勞工安全衛生費"/>
      <sheetName val="單價分析表1"/>
      <sheetName val="單價分析表2"/>
      <sheetName val="單價分析表3_4"/>
      <sheetName val="單價分析表4"/>
      <sheetName val="單價分析表5"/>
      <sheetName val="單價分析表6"/>
      <sheetName val="單價計算表"/>
      <sheetName val="工程數量總表A4"/>
      <sheetName val="數量計算表"/>
      <sheetName val="土石方計算表"/>
      <sheetName val="計算空污費表"/>
      <sheetName val="空污費"/>
      <sheetName val="工期分析表"/>
      <sheetName val="注意事項"/>
      <sheetName val="施工補充說明書封面"/>
      <sheetName val="剩餘土石方運棄計畫表"/>
      <sheetName val="各處所地點"/>
      <sheetName val="input"/>
      <sheetName val="空白工程預算書_2"/>
      <sheetName val="單價分析表(1-6)_2"/>
      <sheetName val="空白工程預算書_1"/>
      <sheetName val="單價分析表(1-6)_1"/>
      <sheetName val="工程預算書_"/>
      <sheetName val="單價分析表3_"/>
      <sheetName val="空白工程預算書_3"/>
      <sheetName val="單價分析表(1-6)_3"/>
      <sheetName val="空白工程預算書_4"/>
      <sheetName val="單價分析表(1-6)_4"/>
      <sheetName val="工程預算書_1"/>
      <sheetName val="單價分析表3_1"/>
      <sheetName val="空白工程預算書_5"/>
      <sheetName val="單價分析表(1-6)_5"/>
      <sheetName val="工程預算書_2"/>
      <sheetName val="單價分析表3_2"/>
      <sheetName val="空白工程預算書_6"/>
      <sheetName val="單價分析表(1-6)_6"/>
      <sheetName val="工程預算書_3"/>
      <sheetName val="單價分析表3_3"/>
      <sheetName val="空白工程預算書_8"/>
      <sheetName val="單價分析表(1-6)_8"/>
      <sheetName val="工程預算書_5"/>
      <sheetName val="資料庫"/>
      <sheetName val="工程預算書 "/>
      <sheetName val="單價分析表3 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 refreshError="1"/>
      <sheetData sheetId="71" refreshError="1"/>
      <sheetData sheetId="72" refreshError="1"/>
      <sheetData sheetId="73" refreshError="1"/>
      <sheetData sheetId="74" refreshError="1"/>
      <sheetData sheetId="75"/>
      <sheetData sheetId="7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程預算書"/>
      <sheetName val="預算書費率表"/>
      <sheetName val="數量總表"/>
      <sheetName val="預定進度表"/>
      <sheetName val="基本單價說明"/>
      <sheetName val="空白工程預算書 "/>
      <sheetName val="單價分析表(1-6) "/>
      <sheetName val="空白工程預算書_7"/>
      <sheetName val="單價分析表(1-6)_7"/>
      <sheetName val="BG8"/>
      <sheetName val="空白工程預算書_"/>
      <sheetName val="單價分析表(1-6)_"/>
      <sheetName val="工程預算書_4"/>
      <sheetName val="計算工作表"/>
      <sheetName val="單價分析表(1-11)"/>
      <sheetName val="單價分析表"/>
      <sheetName val="總表"/>
      <sheetName val="預2"/>
      <sheetName val="預1"/>
      <sheetName val="單1"/>
      <sheetName val="明隧道結構數量"/>
      <sheetName val="路基數量"/>
      <sheetName val="空白工程預算書_2"/>
      <sheetName val="單價分析表(1-6)_2"/>
      <sheetName val="空白工程預算書_1"/>
      <sheetName val="單價分析表(1-6)_1"/>
      <sheetName val="工程預算書_"/>
      <sheetName val="空白工程預算書_3"/>
      <sheetName val="單價分析表(1-6)_3"/>
      <sheetName val="空白工程預算書_4"/>
      <sheetName val="單價分析表(1-6)_4"/>
      <sheetName val="工程預算書_1"/>
      <sheetName val="空白工程預算書_5"/>
      <sheetName val="單價分析表(1-6)_5"/>
      <sheetName val="工程預算書_2"/>
      <sheetName val="空白工程預算書_6"/>
      <sheetName val="單價分析表(1-6)_6"/>
      <sheetName val="工程預算書_3"/>
      <sheetName val="空白工程預算書_8"/>
      <sheetName val="單價分析表(1-6)_8"/>
      <sheetName val="單價2"/>
      <sheetName val="材料表"/>
      <sheetName val="預算明細表"/>
      <sheetName val="工程預算書 "/>
      <sheetName val="單價總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單價分析表(1-11)"/>
      <sheetName val="單價分析表_1_11_"/>
      <sheetName val="工程預算書"/>
      <sheetName val="基本資料"/>
      <sheetName val="初稿審查意見處理表"/>
      <sheetName val="初稿審核單"/>
      <sheetName val="封面"/>
      <sheetName val="工程計畫說明書"/>
      <sheetName val="預算書總表"/>
      <sheetName val="主體工程費"/>
      <sheetName val="雜項工程費"/>
      <sheetName val="環境保護措施費"/>
      <sheetName val="品質檢驗費"/>
      <sheetName val="勞工安全衛生費"/>
      <sheetName val="單價分析表1"/>
      <sheetName val="單價分析表2"/>
      <sheetName val="單價分析表3 "/>
      <sheetName val="單價分析表4"/>
      <sheetName val="單價分析表5"/>
      <sheetName val="單價分析表6"/>
      <sheetName val="單價計算表"/>
      <sheetName val="工程數量總表A4"/>
      <sheetName val="數量計算表"/>
      <sheetName val="土石方計算表"/>
      <sheetName val="計算空污費表"/>
      <sheetName val="空污費"/>
      <sheetName val="工期分析表"/>
      <sheetName val="預定進度表"/>
      <sheetName val="注意事項"/>
      <sheetName val="施工補充說明書封面"/>
      <sheetName val="剩餘土石方運棄計畫表"/>
      <sheetName val="各處所地點"/>
      <sheetName val="單價分析表"/>
      <sheetName val="數量"/>
      <sheetName val="單價"/>
      <sheetName val="Sheet1"/>
      <sheetName val="計1"/>
      <sheetName val="修改"/>
      <sheetName val="工程計算表"/>
      <sheetName val="U型溝暗溝 (0.6X1.3)"/>
      <sheetName val="cant"/>
      <sheetName val="發包檔"/>
      <sheetName val="材料表"/>
      <sheetName val="預算明細表"/>
      <sheetName val="資料庫"/>
      <sheetName val="預算明細"/>
      <sheetName val="定義"/>
      <sheetName val="單價2"/>
      <sheetName val="總表"/>
      <sheetName val="計2"/>
      <sheetName val="計3"/>
      <sheetName val="計4"/>
      <sheetName val="合約2"/>
      <sheetName val="單價分析表3_"/>
      <sheetName val="單價分析表3_1"/>
      <sheetName val="單價分析表3_2"/>
      <sheetName val="單價分析表3_3"/>
      <sheetName val="分析表"/>
      <sheetName val="預算書"/>
      <sheetName val="時價表"/>
      <sheetName val="U型溝暗溝_(0_6X1_3)"/>
      <sheetName val="U型溝暗溝_(0_6X1_3)1"/>
      <sheetName val="U型溝暗溝_(0_6X1_3)2"/>
      <sheetName val="數量統計表 "/>
      <sheetName val="預算"/>
      <sheetName val="基本資料表"/>
      <sheetName val="營繕工程變更設計預算表"/>
      <sheetName val="變更單價分析表 "/>
      <sheetName val="台9小面積 "/>
      <sheetName val="土木工程單價"/>
      <sheetName val="setting"/>
      <sheetName val="修正契約總價表"/>
      <sheetName val="工程變更設計說明書"/>
      <sheetName val="變更設計總表"/>
      <sheetName val="變更設計詳細表"/>
      <sheetName val="承商議定書(議價前)"/>
      <sheetName val="新增單價分析表(議價前)"/>
      <sheetName val="承商議定書(空白標單)"/>
      <sheetName val="新增單價分析表(空白標單)"/>
      <sheetName val="標線計算表(不印)"/>
      <sheetName val="試驗總表(不印)"/>
      <sheetName val="R&amp;C&amp;T"/>
      <sheetName val="U"/>
      <sheetName val="單價分析表3_4"/>
      <sheetName val="U型溝暗溝_(0_6X1_3)3"/>
      <sheetName val="單價分析43-B"/>
      <sheetName val="變更"/>
      <sheetName val="TYP1"/>
      <sheetName val="單價分析表3_5"/>
      <sheetName val="U型溝暗溝_(0_6X1_3)4"/>
      <sheetName val="單價分析表3_6"/>
      <sheetName val="U型溝暗溝_(0_6X1_3)5"/>
      <sheetName val="變更單價分析表_"/>
      <sheetName val="單價分析表3_7"/>
      <sheetName val="U型溝暗溝_(0_6X1_3)6"/>
      <sheetName val="變更單價分析表_1"/>
      <sheetName val="台9小面積_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 refreshError="1"/>
      <sheetData sheetId="48"/>
      <sheetData sheetId="49"/>
      <sheetData sheetId="50"/>
      <sheetData sheetId="51" refreshError="1"/>
      <sheetData sheetId="52"/>
      <sheetData sheetId="53" refreshError="1"/>
      <sheetData sheetId="54" refreshError="1"/>
      <sheetData sheetId="55" refreshError="1"/>
      <sheetData sheetId="56"/>
      <sheetData sheetId="57" refreshError="1"/>
      <sheetData sheetId="58" refreshError="1"/>
      <sheetData sheetId="59" refreshError="1"/>
      <sheetData sheetId="60" refreshError="1"/>
      <sheetData sheetId="61"/>
      <sheetData sheetId="62" refreshError="1"/>
      <sheetData sheetId="63" refreshError="1"/>
      <sheetData sheetId="64" refreshError="1"/>
      <sheetData sheetId="65"/>
      <sheetData sheetId="66" refreshError="1"/>
      <sheetData sheetId="67" refreshError="1"/>
      <sheetData sheetId="68" refreshError="1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集水池總表"/>
      <sheetName val="計算工作表"/>
      <sheetName val="試驗"/>
      <sheetName val="表2-1"/>
      <sheetName val="表2-2"/>
      <sheetName val="圖2-1"/>
      <sheetName val="氣象(表3-1圖3-1~3)"/>
      <sheetName val="表3-2"/>
      <sheetName val="表3-3"/>
      <sheetName val="工程預算書"/>
      <sheetName val="資料庫"/>
      <sheetName val="預算明細"/>
      <sheetName val="基本單價"/>
      <sheetName val="單價分析表"/>
      <sheetName val="合約2"/>
      <sheetName val="分析資料"/>
      <sheetName val="單價總表"/>
      <sheetName val="工程預算書 "/>
      <sheetName val="單價分析表(1-11)"/>
      <sheetName val="計2"/>
      <sheetName val="總表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基本資料表"/>
      <sheetName val="工程預算書 "/>
      <sheetName val="工程預算書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預算"/>
      <sheetName val="封面"/>
      <sheetName val="預算明細表"/>
      <sheetName val="資料庫"/>
      <sheetName val="單價分析表"/>
      <sheetName val="合約2"/>
      <sheetName val="單價總表"/>
      <sheetName val="BGT-GATE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Sheet2"/>
      <sheetName val="預算資源統計表"/>
      <sheetName val="工程資料"/>
      <sheetName val="進度(日)"/>
      <sheetName val="施工封面"/>
      <sheetName val="0530"/>
      <sheetName val="0531"/>
      <sheetName val="0601"/>
      <sheetName val="0602"/>
      <sheetName val="0603"/>
      <sheetName val="0604"/>
      <sheetName val="0605"/>
      <sheetName val="0606"/>
      <sheetName val="0607"/>
      <sheetName val="0608"/>
      <sheetName val="0609"/>
      <sheetName val="0610"/>
      <sheetName val="0611"/>
      <sheetName val="0612"/>
      <sheetName val="0613"/>
      <sheetName val="0614"/>
      <sheetName val="0615"/>
      <sheetName val="0616"/>
      <sheetName val="0617"/>
      <sheetName val="0618"/>
      <sheetName val="0619"/>
      <sheetName val="0620"/>
      <sheetName val="0621"/>
      <sheetName val="0622ok"/>
      <sheetName val="0623"/>
      <sheetName val="0624"/>
      <sheetName val="0625"/>
      <sheetName val="0626"/>
      <sheetName val="0627"/>
      <sheetName val="0628"/>
      <sheetName val="0629"/>
      <sheetName val="0630"/>
      <sheetName val="0701"/>
      <sheetName val="0702"/>
      <sheetName val="0703"/>
      <sheetName val="0704"/>
      <sheetName val="0705"/>
      <sheetName val="0706"/>
      <sheetName val="0707"/>
      <sheetName val="0708"/>
      <sheetName val="0709"/>
      <sheetName val="0710"/>
      <sheetName val="0711"/>
      <sheetName val="0712"/>
      <sheetName val="0713"/>
      <sheetName val="0714"/>
      <sheetName val="0715"/>
      <sheetName val="0716"/>
      <sheetName val="0717"/>
      <sheetName val="0718"/>
      <sheetName val="0719"/>
      <sheetName val="0720"/>
      <sheetName val="0721"/>
      <sheetName val="0722"/>
      <sheetName val="0723"/>
      <sheetName val="0724"/>
      <sheetName val="0725"/>
      <sheetName val="0726"/>
      <sheetName val="0727"/>
      <sheetName val="0728"/>
      <sheetName val="0729"/>
      <sheetName val="0730"/>
      <sheetName val="0731"/>
      <sheetName val="0801"/>
      <sheetName val="0802"/>
      <sheetName val="0803"/>
      <sheetName val="0804"/>
      <sheetName val="0805"/>
      <sheetName val="0806"/>
      <sheetName val="0807"/>
      <sheetName val="0808"/>
      <sheetName val="0809"/>
      <sheetName val="0810"/>
      <sheetName val="0811"/>
      <sheetName val="0812"/>
      <sheetName val="0813"/>
      <sheetName val="0814"/>
      <sheetName val="0815"/>
      <sheetName val="0816"/>
      <sheetName val="0817"/>
      <sheetName val="0818"/>
      <sheetName val="0819"/>
      <sheetName val="0820"/>
      <sheetName val="0821"/>
      <sheetName val="0822"/>
      <sheetName val="0823"/>
      <sheetName val="0824"/>
      <sheetName val="0825"/>
      <sheetName val="0826"/>
      <sheetName val="0827"/>
      <sheetName val="0828"/>
      <sheetName val="0829"/>
      <sheetName val="0830"/>
      <sheetName val="0831"/>
      <sheetName val="0901"/>
      <sheetName val="0902"/>
      <sheetName val="0903"/>
      <sheetName val="0904"/>
      <sheetName val="0905"/>
      <sheetName val="0906"/>
      <sheetName val="0907"/>
      <sheetName val="0908"/>
      <sheetName val="資料庫日"/>
      <sheetName val="各部完成"/>
      <sheetName val="坍度"/>
      <sheetName val="基本單價"/>
      <sheetName val="分析資料"/>
      <sheetName val="材料表"/>
      <sheetName val="右岸"/>
      <sheetName val="左岸"/>
      <sheetName val="左右岸"/>
      <sheetName val="右排"/>
      <sheetName val="左No1"/>
      <sheetName val="左No2"/>
      <sheetName val="合計"/>
      <sheetName val="_x0000_"/>
      <sheetName val="委拖設計核章欄 "/>
      <sheetName val="說明書"/>
      <sheetName val="進度表 (2)"/>
      <sheetName val="契約總表"/>
      <sheetName val="契約詳細表"/>
      <sheetName val="試驗費"/>
      <sheetName val="數量計算表 (2)"/>
      <sheetName val="路寬表(162甲)"/>
      <sheetName val="路寬表(166)"/>
      <sheetName val="路寬表(169)"/>
      <sheetName val="RCP規格表"/>
      <sheetName val="變更明細表(處) "/>
      <sheetName val="DATA"/>
      <sheetName val="預2"/>
      <sheetName val="預1"/>
      <sheetName val="總表"/>
      <sheetName val="單價分析"/>
      <sheetName val="工程預算書_"/>
      <sheetName val="工程預算書_1"/>
      <sheetName val="?"/>
      <sheetName val="AC"/>
      <sheetName val="進度表"/>
      <sheetName val="_"/>
      <sheetName val="預算書封面(工程名稱)"/>
      <sheetName val="數量"/>
      <sheetName val="單價分析(包商用)"/>
      <sheetName val="setting"/>
      <sheetName val="修正契約總價表"/>
      <sheetName val="工程變更設計說明書"/>
      <sheetName val="變更設計總表"/>
      <sheetName val="變更設計詳細表"/>
      <sheetName val="數量計算表"/>
      <sheetName val="承商議定書(議價前)"/>
      <sheetName val="新增單價分析表(議價前)"/>
      <sheetName val="承商議定書(空白標單)"/>
      <sheetName val="新增單價分析表(空白標單)"/>
      <sheetName val="標線計算表(不印)"/>
      <sheetName val="試驗總表(不印)"/>
      <sheetName val="_x005f_x0000_"/>
      <sheetName val="委拖設計核章欄_"/>
      <sheetName val="進度表_(2)"/>
      <sheetName val="數量計算表_(2)"/>
      <sheetName val="變更明細表(處)_"/>
      <sheetName val="工程預算書_2"/>
    </sheetNames>
    <sheetDataSet>
      <sheetData sheetId="0" refreshError="1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 refreshError="1"/>
      <sheetData sheetId="152" refreshError="1"/>
      <sheetData sheetId="153" refreshError="1"/>
      <sheetData sheetId="154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/>
      <sheetData sheetId="168"/>
      <sheetData sheetId="169"/>
      <sheetData sheetId="170"/>
      <sheetData sheetId="171"/>
      <sheetData sheetId="172" refreshError="1"/>
      <sheetData sheetId="173"/>
      <sheetData sheetId="174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/>
      <sheetData sheetId="184" refreshError="1"/>
      <sheetData sheetId="185" refreshError="1"/>
      <sheetData sheetId="186" refreshError="1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 refreshError="1"/>
      <sheetData sheetId="200" refreshError="1"/>
      <sheetData sheetId="201"/>
      <sheetData sheetId="202"/>
      <sheetData sheetId="203"/>
      <sheetData sheetId="204"/>
      <sheetData sheetId="205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單價"/>
      <sheetName val="預算書封面 (4)"/>
      <sheetName val="環保"/>
      <sheetName val="勞安數 量 5"/>
      <sheetName val="預算書封面一類"/>
      <sheetName val="預算書封面"/>
      <sheetName val="預算書封面 (3)"/>
      <sheetName val="主選單"/>
      <sheetName val="各項單價分析表"/>
      <sheetName val="單價修正"/>
      <sheetName val="明細表"/>
      <sheetName val="總表明細表"/>
      <sheetName val="總表明細表 (2)"/>
      <sheetName val="NO1明細表"/>
      <sheetName val="NO2明細表 "/>
      <sheetName val="工雜6"/>
      <sheetName val="公環5"/>
      <sheetName val="公勞4"/>
      <sheetName val="單價分析表"/>
      <sheetName val="巨集表"/>
      <sheetName val="Macro1-模板混凝土"/>
      <sheetName val="Macro2-坡面工"/>
      <sheetName val="Macro3-A.C."/>
      <sheetName val="混凝土210"/>
      <sheetName val="混凝土175"/>
      <sheetName val="混凝土坡面工(機拍t=20)"/>
      <sheetName val="混凝土坡面工(機拍t=15)"/>
      <sheetName val="混排塊石"/>
      <sheetName val="舖級配砂石粒料底層t=0.30m"/>
      <sheetName val="模型損耗(結構體用)"/>
      <sheetName val="甲種模型損耗(一般用)"/>
      <sheetName val="乙種模型損耗(基礎用)"/>
      <sheetName val="鋼筋加工及組立"/>
      <sheetName val="粘層及透層舖設"/>
      <sheetName val="瀝青混凝土拌合料"/>
      <sheetName val="AC面層舖設T=5CM"/>
      <sheetName val="AC面層舖設T=8CM"/>
      <sheetName val="非粘性土壤整平夯實費"/>
      <sheetName val="5T混凝土塊製作費"/>
      <sheetName val="混凝土路面工t=0.20m"/>
      <sheetName val="B型護欄"/>
      <sheetName val="C型護欄"/>
      <sheetName val="種黃槿"/>
      <sheetName val="混排塊石下墊混凝土T=0.30M"/>
      <sheetName val="污染源"/>
      <sheetName val="預鑄混凝土"/>
      <sheetName val="舖塊石"/>
      <sheetName val="A型護欄"/>
      <sheetName val="種馬鞍籐"/>
      <sheetName val="種大葉變葉木"/>
      <sheetName val="種軟枝黃蟬"/>
      <sheetName val="合力塊"/>
      <sheetName val="2T混凝土塊製作費"/>
      <sheetName val="PU彩繪"/>
      <sheetName val="穎川堤防側溝修復35M"/>
      <sheetName val="Macro4明細表"/>
      <sheetName val="單價分析主功能表"/>
      <sheetName val="其它單價VBA"/>
      <sheetName val="Module2"/>
      <sheetName val="Module1"/>
      <sheetName val=" 明細表 copy)"/>
      <sheetName val="工程數量表--乙"/>
      <sheetName val="工程數量表--乙 (1)"/>
      <sheetName val="工程數量表丙2"/>
      <sheetName val="工程數量表丙2 (2)"/>
      <sheetName val="工程數量表--丙(3)"/>
      <sheetName val="工程數量表--丙 (4)"/>
      <sheetName val="勞安環保"/>
      <sheetName val="環境保護措施費1"/>
      <sheetName val="勞工安全衛生費1"/>
      <sheetName val="工程數量表--丙"/>
      <sheetName val="工程數量表--丙 水泥"/>
      <sheetName val="土方計算表"/>
      <sheetName val="土方計算表 (2)"/>
      <sheetName val="土方計算表 (3)"/>
      <sheetName val="土方計算表 (5)"/>
      <sheetName val="混凝土210 (2)"/>
      <sheetName val="混凝土175 (2)"/>
      <sheetName val="混凝土坡面工(機拍t=30) (2)"/>
      <sheetName val="混凝土坡面工(機拍t=20) (2)"/>
      <sheetName val="混排塊石舖混凝土坡面工 (2)"/>
      <sheetName val="甲種模型損耗(一般用) (2)"/>
      <sheetName val="乙種模型損耗(基礎用) (2)"/>
      <sheetName val="合力塊 (2)"/>
      <sheetName val="鋼筋加工及組立 (2)"/>
      <sheetName val="粘層及透層舖設 (2)"/>
      <sheetName val="瀝青混凝土拌合料 (2)"/>
      <sheetName val="AC面層舖設T=5CM (2)"/>
      <sheetName val="AC面層舖設T=8CM (2)"/>
      <sheetName val="非粘性土壤整平夯實費 (2)"/>
      <sheetName val="2T混凝土塊製作費 (2)"/>
      <sheetName val="混排塊石 (2)"/>
      <sheetName val="B型護欄 (2)"/>
      <sheetName val="A型護欄 (2)"/>
      <sheetName val="C型護欄 (2)"/>
      <sheetName val="種黃槿 (2)"/>
      <sheetName val="種馬鞍籐 (2)"/>
      <sheetName val="PU彩繪 (2)"/>
      <sheetName val="NO1明細表 (2)"/>
      <sheetName val="NO2明細表  (2)"/>
      <sheetName val="NO3明細表 (2)"/>
      <sheetName val="NO4-5明細表 (2)"/>
      <sheetName val="工雜6 (2)"/>
      <sheetName val="公勞7 (2)"/>
      <sheetName val="公環8 (2)"/>
      <sheetName val="混排塊石下墊混凝土T=0.30M (2)"/>
      <sheetName val="穎川堤防側溝修復35M (2)"/>
      <sheetName val="總表明細表 (3)"/>
      <sheetName val="總表明細表 (4)"/>
      <sheetName val="估價單"/>
      <sheetName val="NO1明細表 (3)"/>
      <sheetName val="NO2明細表  (3)"/>
      <sheetName val="NO3明細表 (3)"/>
      <sheetName val="NO4-5明細表 (3)"/>
      <sheetName val="工雜6 (3)"/>
      <sheetName val="公勞7 (3)"/>
      <sheetName val="公環8 (3)"/>
      <sheetName val="混排塊石 (3)"/>
      <sheetName val="非粘性土壤整平夯實費 (3)"/>
      <sheetName val="混排塊石舖混凝土坡面工 (3)"/>
      <sheetName val="AC面層舖設T=8CM (3)"/>
      <sheetName val="AC面層舖設T=5CM (3)"/>
      <sheetName val="瀝青混凝土拌合料 (3)"/>
      <sheetName val="甲種模型損耗(一般用) (3)"/>
      <sheetName val="乙種模型損耗(基礎用) (3)"/>
      <sheetName val="鋼筋加工及組立 (3)"/>
      <sheetName val="粘層及透層舖設 (3)"/>
      <sheetName val="混凝土210 (3)"/>
      <sheetName val="混凝土175 (3)"/>
      <sheetName val="混凝土坡面工(機拍t=30) (3)"/>
      <sheetName val="混凝土坡面工(機拍t=20) (3)"/>
      <sheetName val="2T混凝土塊製作費 (3)"/>
      <sheetName val="混凝土路面工t=0.20m (2)"/>
      <sheetName val="B型護欄 (3)"/>
      <sheetName val="A型護欄 (3)"/>
      <sheetName val="C型護欄 (3)"/>
      <sheetName val="種黃槿 (3)"/>
      <sheetName val="種馬鞍籐 (3)"/>
      <sheetName val="合力塊 (3)"/>
      <sheetName val="PU彩繪 (3)"/>
      <sheetName val="混排塊石下墊混凝土T=0.30M (3)"/>
      <sheetName val="穎川堤防側溝修復35M (3)"/>
      <sheetName val="總表明細表 (5)"/>
      <sheetName val="總表明細表 (6)"/>
    </sheetNames>
    <sheetDataSet>
      <sheetData sheetId="0">
        <row r="4">
          <cell r="C4" t="str">
            <v>大湖口溪阿丹南勢堤防工程</v>
          </cell>
        </row>
        <row r="5">
          <cell r="C5" t="str">
            <v>雲林縣斗南鎮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 refreshError="1"/>
      <sheetData sheetId="58" refreshError="1"/>
      <sheetData sheetId="59" refreshError="1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YSIS"/>
      <sheetName val="基本資料"/>
      <sheetName val="初稿審查意見處理表"/>
      <sheetName val="初稿審核單"/>
      <sheetName val="封面"/>
      <sheetName val="工程計畫說明書"/>
      <sheetName val="預算書總表"/>
      <sheetName val="主體工程費"/>
      <sheetName val="雜項工程費"/>
      <sheetName val="環境保護措施費"/>
      <sheetName val="品質檢驗費"/>
      <sheetName val="勞工安全衛生費"/>
      <sheetName val="單價分析表1"/>
      <sheetName val="單價分析表2"/>
      <sheetName val="單價分析表3 "/>
      <sheetName val="單價分析表4"/>
      <sheetName val="單價分析表5"/>
      <sheetName val="單價分析表6"/>
      <sheetName val="單價計算表"/>
      <sheetName val="工程數量總表A4"/>
      <sheetName val="數量計算表"/>
      <sheetName val="土石方計算表"/>
      <sheetName val="計算空污費表"/>
      <sheetName val="空污費"/>
      <sheetName val="工期分析表"/>
      <sheetName val="預定進度表"/>
      <sheetName val="注意事項"/>
      <sheetName val="施工補充說明書封面"/>
      <sheetName val="剩餘土石方運棄計畫表"/>
      <sheetName val="各處所地點"/>
      <sheetName val="總"/>
      <sheetName val="開工報告書(橫章)"/>
      <sheetName val="工程完工報告書"/>
      <sheetName val="監造日報表封面"/>
      <sheetName val="監造日報表 (1)"/>
      <sheetName val="監造日報表"/>
      <sheetName val="監造日報表 (2)"/>
      <sheetName val="監造日報表 (3)"/>
      <sheetName val="監造日報表 (4)"/>
      <sheetName val="結算書封面(橫章)"/>
      <sheetName val="工程驗收單"/>
      <sheetName val="結算明細總表"/>
      <sheetName val="工程預算書 "/>
      <sheetName val="工程預算書_"/>
      <sheetName val="工程預算表"/>
      <sheetName val="ANALYSIS.XLS"/>
      <sheetName val="Ｂ工區水理計算"/>
      <sheetName val="Sheet2"/>
      <sheetName val="工程預算書_8"/>
      <sheetName val="監造日報表_(1)7"/>
      <sheetName val="監造日報表_(2)7"/>
      <sheetName val="監造日報表_(3)7"/>
      <sheetName val="監造日報表_(4)7"/>
      <sheetName val="單價分析表3_7"/>
      <sheetName val="ANALYSIS_XLS7"/>
      <sheetName val="單價分析表(1-11)"/>
      <sheetName val="工程預算書"/>
      <sheetName val="預2"/>
      <sheetName val="數量計算表(乙)"/>
      <sheetName val="結算明細表_(2)6"/>
      <sheetName val="預算明細表_(2)6"/>
      <sheetName val="資料庫"/>
      <sheetName val="工程預算書_1"/>
      <sheetName val="監造日報表_(1)"/>
      <sheetName val="監造日報表_(2)"/>
      <sheetName val="監造日報表_(3)"/>
      <sheetName val="監造日報表_(4)"/>
      <sheetName val="單價分析表3_"/>
      <sheetName val="ANALYSIS_XLS"/>
      <sheetName val="結算明細表_(2)"/>
      <sheetName val="預算明細表_(2)"/>
      <sheetName val="工程預算書_5"/>
      <sheetName val="監造日報表_(1)4"/>
      <sheetName val="監造日報表_(2)4"/>
      <sheetName val="監造日報表_(3)4"/>
      <sheetName val="監造日報表_(4)4"/>
      <sheetName val="單價分析表3_4"/>
      <sheetName val="ANALYSIS_XLS4"/>
      <sheetName val="工程預算書_2"/>
      <sheetName val="監造日報表_(1)1"/>
      <sheetName val="監造日報表_(2)1"/>
      <sheetName val="監造日報表_(3)1"/>
      <sheetName val="監造日報表_(4)1"/>
      <sheetName val="單價分析表3_1"/>
      <sheetName val="ANALYSIS_XLS1"/>
      <sheetName val="結算明細表_(2)1"/>
      <sheetName val="預算明細表_(2)1"/>
      <sheetName val="工程預算書_3"/>
      <sheetName val="監造日報表_(1)2"/>
      <sheetName val="監造日報表_(2)2"/>
      <sheetName val="監造日報表_(3)2"/>
      <sheetName val="監造日報表_(4)2"/>
      <sheetName val="單價分析表3_2"/>
      <sheetName val="ANALYSIS_XLS2"/>
      <sheetName val="結算明細表_(2)2"/>
      <sheetName val="預算明細表_(2)2"/>
      <sheetName val="工程預算書_4"/>
      <sheetName val="監造日報表_(1)3"/>
      <sheetName val="監造日報表_(2)3"/>
      <sheetName val="監造日報表_(3)3"/>
      <sheetName val="監造日報表_(4)3"/>
      <sheetName val="單價分析表3_3"/>
      <sheetName val="ANALYSIS_XLS3"/>
      <sheetName val="結算明細表_(2)3"/>
      <sheetName val="預算明細表_(2)3"/>
      <sheetName val="單價分析表3_5"/>
      <sheetName val="監造日報表_(1)5"/>
      <sheetName val="監造日報表_(2)5"/>
      <sheetName val="監造日報表_(3)5"/>
      <sheetName val="監造日報表_(4)5"/>
      <sheetName val="工程預算書_6"/>
      <sheetName val="ANALYSIS_XLS5"/>
      <sheetName val="預算明細表_(2)4"/>
      <sheetName val="結算明細表_(2)4"/>
      <sheetName val="工程預算書_7"/>
      <sheetName val="監造日報表_(1)6"/>
      <sheetName val="監造日報表_(2)6"/>
      <sheetName val="監造日報表_(3)6"/>
      <sheetName val="監造日報表_(4)6"/>
      <sheetName val="單價分析表3_6"/>
      <sheetName val="ANALYSIS_XLS6"/>
      <sheetName val="結算明細表_(2)5"/>
      <sheetName val="預算明細表_(2)5"/>
      <sheetName val="工程預算書_9"/>
      <sheetName val="監造日報表_(1)8"/>
      <sheetName val="監造日報表_(2)8"/>
      <sheetName val="監造日報表_(3)8"/>
      <sheetName val="監造日報表_(4)8"/>
      <sheetName val="單價分析表3_8"/>
      <sheetName val="ANALYSIS_XLS8"/>
      <sheetName val="結算明細表_(2)7"/>
      <sheetName val="預算明細表_(2)7"/>
      <sheetName val="預算明細表"/>
      <sheetName val="材料表"/>
      <sheetName val="預算明細"/>
      <sheetName val="預算明細表 (2)"/>
      <sheetName val="數量(含竣工)"/>
      <sheetName val="單價"/>
      <sheetName val="結算明細表 (2)"/>
      <sheetName val="數量表(變更)"/>
      <sheetName val="預算(估價)"/>
      <sheetName val="資料總表"/>
      <sheetName val="附屬資料"/>
      <sheetName val="預算"/>
      <sheetName val="單價總表"/>
      <sheetName val="護岸(下游)"/>
      <sheetName val="鋼筋明細表"/>
    </sheetNames>
    <definedNames>
      <definedName name="A區資料篩選"/>
      <definedName name="B區資料篩選"/>
      <definedName name="C區資料篩選"/>
      <definedName name="D區資料篩選"/>
      <definedName name="清除A區資料"/>
      <definedName name="清除B區資料"/>
      <definedName name="清除C區資料"/>
      <definedName name="清除D區資料"/>
      <definedName name="清除查詢資料"/>
    </defined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/>
      <sheetData sheetId="135" refreshError="1"/>
      <sheetData sheetId="136" refreshError="1"/>
      <sheetData sheetId="137" refreshError="1"/>
      <sheetData sheetId="138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數量計算表(乙)"/>
      <sheetName val="預算書送審單"/>
      <sheetName val="預算書封面"/>
      <sheetName val="資料輸入"/>
      <sheetName val="發包.材料費"/>
      <sheetName val="第一號明細表"/>
      <sheetName val="第二三四號明細表"/>
      <sheetName val="備用"/>
      <sheetName val="工程設計標準"/>
      <sheetName val="單價分析數量輸入"/>
      <sheetName val="單價分析表1"/>
      <sheetName val="單價分析表2"/>
      <sheetName val="單價分析表3"/>
      <sheetName val="單價分析表4"/>
      <sheetName val="單價分析表5"/>
      <sheetName val="單價分析表6"/>
      <sheetName val="單價分析表7"/>
      <sheetName val="備用1"/>
      <sheetName val="備用2"/>
      <sheetName val="備用3"/>
      <sheetName val="備用4"/>
      <sheetName val="工程數量計算表〈丙〉"/>
      <sheetName val="工程數量計算表〈丙〉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程預算書"/>
      <sheetName val="單價分析表"/>
      <sheetName val="總表"/>
    </sheetNames>
    <sheetDataSet>
      <sheetData sheetId="0"/>
      <sheetData sheetId="1"/>
      <sheetData sheetId="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程預算書"/>
      <sheetName val="單價分析表(1-11)"/>
      <sheetName val="單價分析表"/>
      <sheetName val="總表"/>
      <sheetName val="預2"/>
      <sheetName val="預1"/>
      <sheetName val="單1"/>
      <sheetName val="預算資源統計表"/>
      <sheetName val="預算"/>
      <sheetName val="封面"/>
      <sheetName val="基本資料"/>
      <sheetName val="初稿審查意見處理表"/>
      <sheetName val="初稿審核單"/>
      <sheetName val="工程計畫說明書"/>
      <sheetName val="預算書總表"/>
      <sheetName val="主體工程費"/>
      <sheetName val="雜項工程費"/>
      <sheetName val="環境保護措施費"/>
      <sheetName val="品質檢驗費"/>
      <sheetName val="勞工安全衛生費"/>
      <sheetName val="單價分析表1"/>
      <sheetName val="單價分析表2"/>
      <sheetName val="單價分析表3 "/>
      <sheetName val="單價分析表4"/>
      <sheetName val="單價分析表5"/>
      <sheetName val="單價分析表6"/>
      <sheetName val="單價計算表"/>
      <sheetName val="工程數量總表A4"/>
      <sheetName val="數量計算表"/>
      <sheetName val="土石方計算表"/>
      <sheetName val="計算空污費表"/>
      <sheetName val="空污費"/>
      <sheetName val="工期分析表"/>
      <sheetName val="預定進度表"/>
      <sheetName val="注意事項"/>
      <sheetName val="施工補充說明書封面"/>
      <sheetName val="剩餘土石方運棄計畫表"/>
      <sheetName val="各處所地點"/>
      <sheetName val="input"/>
      <sheetName val="預算書費率表"/>
      <sheetName val="數量總表"/>
      <sheetName val="基本單價說明"/>
      <sheetName val="空白工程預算書 "/>
      <sheetName val="單價分析表(1-6) "/>
      <sheetName val="TYP1"/>
      <sheetName val="空白工程預算書_"/>
      <sheetName val="單價分析表(1-6)_"/>
      <sheetName val="BG8"/>
      <sheetName val="Sheet2"/>
      <sheetName val="E85D014"/>
      <sheetName val="資料庫2"/>
      <sheetName val="塔基式項表"/>
      <sheetName val="預算明細表 (2)"/>
      <sheetName val="數量表"/>
      <sheetName val="預算書10"/>
      <sheetName val="保證金"/>
      <sheetName val="資料庫"/>
      <sheetName val="單價分析(包商用)"/>
      <sheetName val="單價分析"/>
      <sheetName val="預算明細表"/>
      <sheetName val="基本單價"/>
      <sheetName val="RCP規格表"/>
      <sheetName val="訪價表A"/>
      <sheetName val="Sheet1"/>
      <sheetName val="單價分析表3_7"/>
      <sheetName val="空白工程預算書_6"/>
      <sheetName val="單價分析表(1-6)_6"/>
      <sheetName val="預算明細表_(2)6"/>
      <sheetName val="單價2"/>
      <sheetName val="單價分析表3_"/>
      <sheetName val="預算明細表_(2)"/>
      <sheetName val="單價分析表3_4"/>
      <sheetName val="單價分析表3_1"/>
      <sheetName val="空白工程預算書_1"/>
      <sheetName val="單價分析表(1-6)_1"/>
      <sheetName val="預算明細表_(2)1"/>
      <sheetName val="單價分析表3_2"/>
      <sheetName val="空白工程預算書_2"/>
      <sheetName val="單價分析表(1-6)_2"/>
      <sheetName val="預算明細表_(2)2"/>
      <sheetName val="單價分析表3_3"/>
      <sheetName val="空白工程預算書_3"/>
      <sheetName val="單價分析表(1-6)_3"/>
      <sheetName val="預算明細表_(2)3"/>
      <sheetName val="單價分析表3_5"/>
      <sheetName val="預算明細表_(2)4"/>
      <sheetName val="空白工程預算書_4"/>
      <sheetName val="單價分析表(1-6)_4"/>
      <sheetName val="單價分析表3_6"/>
      <sheetName val="空白工程預算書_5"/>
      <sheetName val="單價分析表(1-6)_5"/>
      <sheetName val="預算明細表_(2)5"/>
      <sheetName val="單價分析表3_8"/>
      <sheetName val="空白工程預算書_7"/>
      <sheetName val="單價分析表(1-6)_7"/>
      <sheetName val="預算明細表_(2)7"/>
      <sheetName val="CCC410"/>
      <sheetName val="明細表"/>
      <sheetName val="單價分析表 "/>
      <sheetName val="工項單價"/>
      <sheetName val="2"/>
      <sheetName val="Ｎ"/>
      <sheetName val="基本資料表"/>
      <sheetName val="工程預算書 "/>
      <sheetName val="單價分析表3_16"/>
      <sheetName val="工程預算書_"/>
      <sheetName val="BH"/>
      <sheetName val="單價分析表3_9"/>
      <sheetName val="單價分析表3_10"/>
      <sheetName val="單價分析表3_15"/>
      <sheetName val="單價分析表3_13"/>
      <sheetName val="單價分析表3_12"/>
      <sheetName val="單價分析表3_11"/>
      <sheetName val="單價分析表3_14"/>
      <sheetName val="預算明細"/>
      <sheetName val="單價分析表_"/>
      <sheetName val="單價分析表_1"/>
      <sheetName val="單價分析表_2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 refreshError="1"/>
      <sheetData sheetId="59"/>
      <sheetData sheetId="60" refreshError="1"/>
      <sheetData sheetId="61" refreshError="1"/>
      <sheetData sheetId="62" refreshError="1"/>
      <sheetData sheetId="63" refreshError="1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/>
      <sheetData sheetId="98"/>
      <sheetData sheetId="99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/>
      <sheetData sheetId="116"/>
      <sheetData sheetId="117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程預算書"/>
      <sheetName val="預算書費率表"/>
      <sheetName val="數量總表"/>
      <sheetName val="預定進度表"/>
      <sheetName val="基本單價說明"/>
      <sheetName val="空白工程預算書 "/>
      <sheetName val="單價分析表(1-6) "/>
    </sheetNames>
    <sheetDataSet>
      <sheetData sheetId="0" refreshError="1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程預算書"/>
      <sheetName val="預算書費率表"/>
      <sheetName val="數量總表"/>
      <sheetName val="預定進度表"/>
      <sheetName val="基本單價說明"/>
      <sheetName val="空白工程預算書 "/>
      <sheetName val="單價分析表(1-6) "/>
      <sheetName val="空白工程預算書_4"/>
      <sheetName val="單價分析表(1-6)_4"/>
      <sheetName val="Sheet2"/>
      <sheetName val="單價分析"/>
      <sheetName val="Sheet3"/>
      <sheetName val="空白工程預算書_1"/>
      <sheetName val="單價分析表(1-6)_1"/>
      <sheetName val="空白工程預算書_"/>
      <sheetName val="單價分析表(1-6)_"/>
      <sheetName val="空白工程預算書_2"/>
      <sheetName val="單價分析表(1-6)_2"/>
      <sheetName val="空白工程預算書_3"/>
      <sheetName val="單價分析表(1-6)_3"/>
      <sheetName val="空白工程預算書_5"/>
      <sheetName val="單價分析表(1-6)_5"/>
      <sheetName val="單價分析表(1-11)"/>
      <sheetName val="單價分析表"/>
      <sheetName val="基本資料"/>
      <sheetName val="初稿審查意見處理表"/>
      <sheetName val="初稿審核單"/>
      <sheetName val="封面"/>
      <sheetName val="工程計畫說明書"/>
      <sheetName val="預算書總表"/>
      <sheetName val="主體工程費"/>
      <sheetName val="雜項工程費"/>
      <sheetName val="環境保護措施費"/>
      <sheetName val="品質檢驗費"/>
      <sheetName val="勞工安全衛生費"/>
      <sheetName val="單價分析表1"/>
      <sheetName val="單價分析表2"/>
      <sheetName val="單價分析表3 "/>
      <sheetName val="單價分析表4"/>
      <sheetName val="單價分析表5"/>
      <sheetName val="單價分析表6"/>
      <sheetName val="單價計算表"/>
      <sheetName val="工程數量總表A4"/>
      <sheetName val="數量計算表"/>
      <sheetName val="土石方計算表"/>
      <sheetName val="計算空污費表"/>
      <sheetName val="空污費"/>
      <sheetName val="工期分析表"/>
      <sheetName val="注意事項"/>
      <sheetName val="施工補充說明書封面"/>
      <sheetName val="剩餘土石方運棄計畫表"/>
      <sheetName val="各處所地點"/>
      <sheetName val="總表"/>
      <sheetName val="預2"/>
      <sheetName val="預1"/>
      <sheetName val="單1"/>
      <sheetName val="BG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預算明細表"/>
      <sheetName val="工程預算書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基本資料表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預2"/>
      <sheetName val="單1"/>
      <sheetName val="鋼筋計算"/>
      <sheetName val="budget"/>
      <sheetName val="統計表"/>
      <sheetName val="工期"/>
      <sheetName val="預算明細"/>
      <sheetName val="工程預算書_"/>
      <sheetName val="預算資源統計表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 refreshError="1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</sheetNames>
    <sheetDataSet>
      <sheetData sheetId="0" refreshError="1"/>
      <sheetData sheetId="1"/>
      <sheetData sheetId="2"/>
      <sheetData sheetId="3"/>
      <sheetData sheetId="4"/>
      <sheetData sheetId="5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進度表 "/>
      <sheetName val="計畫說明書"/>
      <sheetName val="input"/>
      <sheetName val="統計表 "/>
      <sheetName val="計算乙表"/>
      <sheetName val="預算書"/>
      <sheetName val="計算表橫式"/>
      <sheetName val="單價計算"/>
      <sheetName val="單價分析表"/>
      <sheetName val="分析資料"/>
      <sheetName val="單價總表"/>
      <sheetName val="基本單價"/>
      <sheetName val="估價單1"/>
      <sheetName val="估價單2"/>
      <sheetName val="合約1"/>
      <sheetName val="合約2"/>
      <sheetName val="變更"/>
      <sheetName val="估驗"/>
      <sheetName val="結算"/>
      <sheetName val="費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編號</v>
          </cell>
          <cell r="B2" t="str">
            <v>項            目</v>
          </cell>
          <cell r="C2" t="str">
            <v>說    明</v>
          </cell>
          <cell r="D2" t="str">
            <v>單 位</v>
          </cell>
          <cell r="E2" t="str">
            <v>單價(元)</v>
          </cell>
          <cell r="F2" t="str">
            <v>附  註</v>
          </cell>
        </row>
        <row r="3">
          <cell r="A3" t="str">
            <v>t0</v>
          </cell>
          <cell r="B3" t="str">
            <v>參 考 單 價</v>
          </cell>
        </row>
        <row r="4">
          <cell r="A4">
            <v>1</v>
          </cell>
          <cell r="B4" t="str">
            <v xml:space="preserve"> 挖普通土(機械作業)</v>
          </cell>
          <cell r="C4" t="str">
            <v>適用路基工程</v>
          </cell>
          <cell r="D4" t="str">
            <v>m3</v>
          </cell>
          <cell r="E4">
            <v>13</v>
          </cell>
          <cell r="F4" t="str">
            <v>參考單價</v>
          </cell>
        </row>
        <row r="5">
          <cell r="A5">
            <v>2</v>
          </cell>
          <cell r="B5" t="str">
            <v xml:space="preserve"> 挖間隔土(機械作業)</v>
          </cell>
          <cell r="C5" t="str">
            <v>適用路基工程</v>
          </cell>
          <cell r="D5" t="str">
            <v>m3</v>
          </cell>
          <cell r="E5">
            <v>13</v>
          </cell>
          <cell r="F5" t="str">
            <v>參考單價</v>
          </cell>
        </row>
        <row r="6">
          <cell r="A6">
            <v>3</v>
          </cell>
          <cell r="B6" t="str">
            <v xml:space="preserve"> 填土(機械作業)</v>
          </cell>
          <cell r="C6" t="str">
            <v>適用路基工程</v>
          </cell>
          <cell r="D6" t="str">
            <v>m3</v>
          </cell>
          <cell r="E6">
            <v>18</v>
          </cell>
          <cell r="F6" t="str">
            <v>參考單價</v>
          </cell>
        </row>
        <row r="7">
          <cell r="A7">
            <v>4</v>
          </cell>
          <cell r="B7" t="str">
            <v xml:space="preserve"> 挖填土(機械作業)</v>
          </cell>
          <cell r="C7" t="str">
            <v>適用路基工程</v>
          </cell>
          <cell r="D7" t="str">
            <v>m3</v>
          </cell>
          <cell r="E7">
            <v>15</v>
          </cell>
          <cell r="F7" t="str">
            <v>參考單價</v>
          </cell>
        </row>
        <row r="8">
          <cell r="A8">
            <v>5</v>
          </cell>
          <cell r="B8" t="str">
            <v xml:space="preserve"> 挖硬岩</v>
          </cell>
          <cell r="D8" t="str">
            <v>m3</v>
          </cell>
          <cell r="E8">
            <v>150</v>
          </cell>
          <cell r="F8" t="str">
            <v>參考單價</v>
          </cell>
        </row>
        <row r="9">
          <cell r="A9">
            <v>6</v>
          </cell>
          <cell r="B9" t="str">
            <v xml:space="preserve"> 挖軟岩</v>
          </cell>
          <cell r="D9" t="str">
            <v>m3</v>
          </cell>
          <cell r="E9">
            <v>100</v>
          </cell>
          <cell r="F9" t="str">
            <v>參考單價</v>
          </cell>
        </row>
        <row r="10">
          <cell r="A10">
            <v>7</v>
          </cell>
          <cell r="B10" t="str">
            <v xml:space="preserve"> 挖青灰岩</v>
          </cell>
          <cell r="D10" t="str">
            <v>m3</v>
          </cell>
          <cell r="E10">
            <v>100</v>
          </cell>
          <cell r="F10" t="str">
            <v>參考單價</v>
          </cell>
        </row>
        <row r="11">
          <cell r="A11">
            <v>8</v>
          </cell>
          <cell r="B11" t="str">
            <v xml:space="preserve"> 人工挖普通土</v>
          </cell>
          <cell r="D11" t="str">
            <v>m3</v>
          </cell>
          <cell r="E11">
            <v>159</v>
          </cell>
          <cell r="F11" t="str">
            <v>參考單價</v>
          </cell>
        </row>
        <row r="12">
          <cell r="A12">
            <v>9</v>
          </cell>
          <cell r="B12" t="str">
            <v xml:space="preserve"> 人工挖普通土－30%砂礫</v>
          </cell>
          <cell r="C12" t="str">
            <v xml:space="preserve"> </v>
          </cell>
          <cell r="D12" t="str">
            <v>m3</v>
          </cell>
          <cell r="E12">
            <v>180</v>
          </cell>
          <cell r="F12" t="str">
            <v>參考單價</v>
          </cell>
        </row>
        <row r="13">
          <cell r="A13">
            <v>10</v>
          </cell>
          <cell r="B13" t="str">
            <v xml:space="preserve"> 人工挖礫石土</v>
          </cell>
          <cell r="D13" t="str">
            <v>m3</v>
          </cell>
          <cell r="E13">
            <v>191</v>
          </cell>
          <cell r="F13" t="str">
            <v>參考單價</v>
          </cell>
        </row>
        <row r="14">
          <cell r="A14">
            <v>11</v>
          </cell>
          <cell r="B14" t="str">
            <v xml:space="preserve"> 人工挖卵、塊石</v>
          </cell>
          <cell r="D14" t="str">
            <v>m3</v>
          </cell>
          <cell r="E14">
            <v>214</v>
          </cell>
          <cell r="F14" t="str">
            <v>參考單價</v>
          </cell>
        </row>
        <row r="15">
          <cell r="A15">
            <v>12</v>
          </cell>
          <cell r="B15" t="str">
            <v xml:space="preserve"> 人工挖軟岩</v>
          </cell>
          <cell r="D15" t="str">
            <v>m3</v>
          </cell>
          <cell r="E15">
            <v>451</v>
          </cell>
          <cell r="F15" t="str">
            <v>參考單價</v>
          </cell>
        </row>
        <row r="16">
          <cell r="A16">
            <v>13</v>
          </cell>
          <cell r="B16" t="str">
            <v xml:space="preserve"> 人工挖硬岩</v>
          </cell>
          <cell r="D16" t="str">
            <v>m3</v>
          </cell>
          <cell r="E16">
            <v>937</v>
          </cell>
          <cell r="F16" t="str">
            <v>參考單價</v>
          </cell>
        </row>
        <row r="17">
          <cell r="A17">
            <v>14</v>
          </cell>
          <cell r="B17" t="str">
            <v xml:space="preserve"> 人工挖青灰岩</v>
          </cell>
          <cell r="D17" t="str">
            <v>m3</v>
          </cell>
          <cell r="E17">
            <v>455</v>
          </cell>
          <cell r="F17" t="str">
            <v>參考單價</v>
          </cell>
        </row>
        <row r="18">
          <cell r="A18">
            <v>15</v>
          </cell>
          <cell r="B18" t="str">
            <v xml:space="preserve"> 人工挖基礎(普通土)</v>
          </cell>
          <cell r="C18" t="str">
            <v>挖深 1m</v>
          </cell>
          <cell r="D18" t="str">
            <v>m3</v>
          </cell>
          <cell r="E18">
            <v>161</v>
          </cell>
          <cell r="F18" t="str">
            <v>參考單價</v>
          </cell>
        </row>
        <row r="19">
          <cell r="A19">
            <v>16</v>
          </cell>
          <cell r="B19" t="str">
            <v xml:space="preserve"> 人工挖基礎(普通土)</v>
          </cell>
          <cell r="C19" t="str">
            <v>挖深 2m</v>
          </cell>
          <cell r="D19" t="str">
            <v>m3</v>
          </cell>
          <cell r="E19">
            <v>182</v>
          </cell>
          <cell r="F19" t="str">
            <v>參考單價</v>
          </cell>
        </row>
        <row r="20">
          <cell r="A20">
            <v>17</v>
          </cell>
          <cell r="B20" t="str">
            <v xml:space="preserve"> 人工挖基礎(普通土)</v>
          </cell>
          <cell r="C20" t="str">
            <v>挖深 3m</v>
          </cell>
          <cell r="D20" t="str">
            <v>m3</v>
          </cell>
          <cell r="E20">
            <v>252</v>
          </cell>
          <cell r="F20" t="str">
            <v>參考單價</v>
          </cell>
        </row>
        <row r="21">
          <cell r="A21">
            <v>18</v>
          </cell>
          <cell r="B21" t="str">
            <v xml:space="preserve"> 人工挖基礎(普通土)</v>
          </cell>
          <cell r="C21" t="str">
            <v>挖深 4m</v>
          </cell>
          <cell r="D21" t="str">
            <v>m3</v>
          </cell>
          <cell r="E21">
            <v>364</v>
          </cell>
          <cell r="F21" t="str">
            <v>參考單價</v>
          </cell>
        </row>
        <row r="22">
          <cell r="A22">
            <v>19</v>
          </cell>
          <cell r="B22" t="str">
            <v xml:space="preserve"> 人工挖基礎(普通土)</v>
          </cell>
          <cell r="C22" t="str">
            <v>挖深 5m</v>
          </cell>
          <cell r="D22" t="str">
            <v>m3</v>
          </cell>
          <cell r="E22">
            <v>466</v>
          </cell>
          <cell r="F22" t="str">
            <v>參考單價</v>
          </cell>
        </row>
        <row r="23">
          <cell r="A23">
            <v>20</v>
          </cell>
          <cell r="B23" t="str">
            <v xml:space="preserve"> 人工挖基礎(含30%砂礫)</v>
          </cell>
          <cell r="C23" t="str">
            <v>挖深1m</v>
          </cell>
          <cell r="D23" t="str">
            <v>m3</v>
          </cell>
          <cell r="E23">
            <v>182</v>
          </cell>
          <cell r="F23" t="str">
            <v>參考單價</v>
          </cell>
        </row>
        <row r="24">
          <cell r="A24">
            <v>21</v>
          </cell>
          <cell r="B24" t="str">
            <v xml:space="preserve"> 人工挖基礎(含30%砂礫)</v>
          </cell>
          <cell r="C24" t="str">
            <v>挖深2m</v>
          </cell>
          <cell r="D24" t="str">
            <v>m3</v>
          </cell>
          <cell r="E24">
            <v>214</v>
          </cell>
          <cell r="F24" t="str">
            <v>參考單價</v>
          </cell>
        </row>
        <row r="25">
          <cell r="A25">
            <v>22</v>
          </cell>
          <cell r="B25" t="str">
            <v xml:space="preserve"> 人工挖基礎(含30%砂礫)</v>
          </cell>
          <cell r="C25" t="str">
            <v>挖深3m</v>
          </cell>
          <cell r="D25" t="str">
            <v>m3</v>
          </cell>
          <cell r="E25">
            <v>305</v>
          </cell>
          <cell r="F25" t="str">
            <v>參考單價</v>
          </cell>
        </row>
        <row r="26">
          <cell r="A26">
            <v>23</v>
          </cell>
          <cell r="B26" t="str">
            <v xml:space="preserve"> 人工挖基礎(含30%砂礫)</v>
          </cell>
          <cell r="C26" t="str">
            <v>挖深4m</v>
          </cell>
          <cell r="D26" t="str">
            <v>m3</v>
          </cell>
          <cell r="E26">
            <v>412</v>
          </cell>
          <cell r="F26" t="str">
            <v>參考單價</v>
          </cell>
        </row>
        <row r="27">
          <cell r="A27">
            <v>24</v>
          </cell>
          <cell r="B27" t="str">
            <v xml:space="preserve"> 人工挖基礎(含30%砂礫)</v>
          </cell>
          <cell r="C27" t="str">
            <v>挖深5m</v>
          </cell>
          <cell r="D27" t="str">
            <v>m3</v>
          </cell>
          <cell r="E27">
            <v>546</v>
          </cell>
          <cell r="F27" t="str">
            <v>參考單價</v>
          </cell>
        </row>
        <row r="28">
          <cell r="A28">
            <v>25</v>
          </cell>
          <cell r="B28" t="str">
            <v xml:space="preserve"> 人工挖基礎(礫石土)</v>
          </cell>
          <cell r="C28" t="str">
            <v>挖深 1m</v>
          </cell>
          <cell r="D28" t="str">
            <v>m3</v>
          </cell>
          <cell r="E28">
            <v>193</v>
          </cell>
          <cell r="F28" t="str">
            <v>參考單價</v>
          </cell>
        </row>
        <row r="29">
          <cell r="A29">
            <v>26</v>
          </cell>
          <cell r="B29" t="str">
            <v xml:space="preserve"> 人工挖基礎(礫石土)</v>
          </cell>
          <cell r="C29" t="str">
            <v>挖深 2m</v>
          </cell>
          <cell r="D29" t="str">
            <v>m3</v>
          </cell>
          <cell r="E29">
            <v>252</v>
          </cell>
          <cell r="F29" t="str">
            <v>參考單價</v>
          </cell>
        </row>
        <row r="30">
          <cell r="A30">
            <v>27</v>
          </cell>
          <cell r="B30" t="str">
            <v xml:space="preserve"> 人工挖基礎(礫石土)</v>
          </cell>
          <cell r="C30" t="str">
            <v>挖深 3m</v>
          </cell>
          <cell r="D30" t="str">
            <v>m3</v>
          </cell>
          <cell r="E30">
            <v>359</v>
          </cell>
          <cell r="F30" t="str">
            <v>參考單價</v>
          </cell>
        </row>
        <row r="31">
          <cell r="A31">
            <v>28</v>
          </cell>
          <cell r="B31" t="str">
            <v xml:space="preserve"> 人工挖基礎(礫石土)</v>
          </cell>
          <cell r="C31" t="str">
            <v>挖深 4m</v>
          </cell>
          <cell r="D31" t="str">
            <v>m3</v>
          </cell>
          <cell r="E31">
            <v>487</v>
          </cell>
          <cell r="F31" t="str">
            <v>參考單價</v>
          </cell>
        </row>
        <row r="32">
          <cell r="A32">
            <v>29</v>
          </cell>
          <cell r="B32" t="str">
            <v xml:space="preserve"> 人工挖基礎(礫石土)</v>
          </cell>
          <cell r="C32" t="str">
            <v>挖深 5m</v>
          </cell>
          <cell r="D32" t="str">
            <v>m3</v>
          </cell>
          <cell r="E32">
            <v>637</v>
          </cell>
          <cell r="F32" t="str">
            <v>參考單價</v>
          </cell>
        </row>
        <row r="33">
          <cell r="A33">
            <v>30</v>
          </cell>
          <cell r="B33" t="str">
            <v xml:space="preserve"> 人工挖基礎(卵塊石)</v>
          </cell>
          <cell r="C33" t="str">
            <v>挖深 1m</v>
          </cell>
          <cell r="D33" t="str">
            <v>m3</v>
          </cell>
          <cell r="E33">
            <v>214</v>
          </cell>
          <cell r="F33" t="str">
            <v>參考單價</v>
          </cell>
        </row>
        <row r="34">
          <cell r="A34">
            <v>31</v>
          </cell>
          <cell r="B34" t="str">
            <v xml:space="preserve"> 人工挖基礎(卵塊石)</v>
          </cell>
          <cell r="C34" t="str">
            <v>挖深 2m</v>
          </cell>
          <cell r="D34" t="str">
            <v>m3</v>
          </cell>
          <cell r="E34">
            <v>311</v>
          </cell>
          <cell r="F34" t="str">
            <v>參考單價</v>
          </cell>
        </row>
        <row r="35">
          <cell r="A35">
            <v>32</v>
          </cell>
          <cell r="B35" t="str">
            <v xml:space="preserve"> 人工挖基礎(卵塊石)</v>
          </cell>
          <cell r="C35" t="str">
            <v>挖深 3m</v>
          </cell>
          <cell r="D35" t="str">
            <v>m3</v>
          </cell>
          <cell r="E35">
            <v>439</v>
          </cell>
          <cell r="F35" t="str">
            <v>參考單價</v>
          </cell>
        </row>
        <row r="36">
          <cell r="A36">
            <v>33</v>
          </cell>
          <cell r="B36" t="str">
            <v xml:space="preserve"> 人工挖基礎(卵塊石)</v>
          </cell>
          <cell r="C36" t="str">
            <v>挖深 4m</v>
          </cell>
          <cell r="D36" t="str">
            <v>m3</v>
          </cell>
          <cell r="E36">
            <v>578</v>
          </cell>
          <cell r="F36" t="str">
            <v>參考單價</v>
          </cell>
        </row>
        <row r="37">
          <cell r="A37">
            <v>34</v>
          </cell>
          <cell r="B37" t="str">
            <v xml:space="preserve"> 人工挖基礎(卵塊石)</v>
          </cell>
          <cell r="C37" t="str">
            <v>挖深 5m</v>
          </cell>
          <cell r="D37" t="str">
            <v>m3</v>
          </cell>
          <cell r="E37">
            <v>728</v>
          </cell>
          <cell r="F37" t="str">
            <v>參考單價</v>
          </cell>
        </row>
        <row r="38">
          <cell r="A38">
            <v>35</v>
          </cell>
          <cell r="B38" t="str">
            <v xml:space="preserve"> 挖軟岩基礎(人工炸藥)</v>
          </cell>
          <cell r="C38" t="str">
            <v>挖深 1m</v>
          </cell>
          <cell r="D38" t="str">
            <v>m3</v>
          </cell>
          <cell r="E38">
            <v>304</v>
          </cell>
          <cell r="F38" t="str">
            <v>參考單價</v>
          </cell>
        </row>
        <row r="39">
          <cell r="A39">
            <v>36</v>
          </cell>
          <cell r="B39" t="str">
            <v xml:space="preserve"> 挖軟岩基礎(人工炸藥)</v>
          </cell>
          <cell r="C39" t="str">
            <v>挖深 2m</v>
          </cell>
          <cell r="D39" t="str">
            <v>m3</v>
          </cell>
          <cell r="E39">
            <v>618</v>
          </cell>
          <cell r="F39" t="str">
            <v>參考單價</v>
          </cell>
        </row>
        <row r="40">
          <cell r="A40">
            <v>37</v>
          </cell>
          <cell r="B40" t="str">
            <v xml:space="preserve"> 挖軟岩基礎(人工炸藥)</v>
          </cell>
          <cell r="C40" t="str">
            <v>挖深 3m</v>
          </cell>
          <cell r="D40" t="str">
            <v>m3</v>
          </cell>
          <cell r="E40">
            <v>906</v>
          </cell>
          <cell r="F40" t="str">
            <v>參考單價</v>
          </cell>
        </row>
        <row r="41">
          <cell r="A41">
            <v>38</v>
          </cell>
          <cell r="B41" t="str">
            <v xml:space="preserve"> 挖硬岩基礎(人工炸藥)</v>
          </cell>
          <cell r="C41" t="str">
            <v>挖深 1m</v>
          </cell>
          <cell r="D41" t="str">
            <v>m3</v>
          </cell>
          <cell r="E41">
            <v>490</v>
          </cell>
          <cell r="F41" t="str">
            <v>參考單價</v>
          </cell>
        </row>
        <row r="42">
          <cell r="A42">
            <v>39</v>
          </cell>
          <cell r="B42" t="str">
            <v xml:space="preserve"> 挖硬岩基礎(人工炸藥)</v>
          </cell>
          <cell r="C42" t="str">
            <v>挖深 2m</v>
          </cell>
          <cell r="D42" t="str">
            <v>m3</v>
          </cell>
          <cell r="E42">
            <v>927</v>
          </cell>
          <cell r="F42" t="str">
            <v>參考單價</v>
          </cell>
        </row>
        <row r="43">
          <cell r="A43">
            <v>40</v>
          </cell>
          <cell r="B43" t="str">
            <v>餘土處理</v>
          </cell>
          <cell r="D43" t="str">
            <v>m3</v>
          </cell>
          <cell r="E43">
            <v>28</v>
          </cell>
          <cell r="F43" t="str">
            <v>參考單價</v>
          </cell>
        </row>
        <row r="44">
          <cell r="A44">
            <v>41</v>
          </cell>
          <cell r="B44" t="str">
            <v xml:space="preserve"> 人工水中挖基礎</v>
          </cell>
          <cell r="C44" t="str">
            <v>普通土  挖深 2m</v>
          </cell>
          <cell r="D44" t="str">
            <v>m3</v>
          </cell>
          <cell r="E44">
            <v>295</v>
          </cell>
          <cell r="F44" t="str">
            <v>參考單價</v>
          </cell>
        </row>
        <row r="45">
          <cell r="A45">
            <v>42</v>
          </cell>
          <cell r="B45" t="str">
            <v xml:space="preserve"> 人工水中挖基礎</v>
          </cell>
          <cell r="C45" t="str">
            <v>普通土  挖深 3m</v>
          </cell>
          <cell r="D45" t="str">
            <v>m3</v>
          </cell>
          <cell r="E45">
            <v>434</v>
          </cell>
          <cell r="F45" t="str">
            <v>參考單價</v>
          </cell>
        </row>
        <row r="46">
          <cell r="A46">
            <v>43</v>
          </cell>
          <cell r="B46" t="str">
            <v xml:space="preserve"> 人工水中挖基礎</v>
          </cell>
          <cell r="C46" t="str">
            <v>普通土  挖深 4m</v>
          </cell>
          <cell r="D46" t="str">
            <v>m3</v>
          </cell>
          <cell r="E46">
            <v>568</v>
          </cell>
          <cell r="F46" t="str">
            <v>參考單價</v>
          </cell>
        </row>
        <row r="47">
          <cell r="A47">
            <v>44</v>
          </cell>
          <cell r="B47" t="str">
            <v xml:space="preserve"> 人工水中挖基礎</v>
          </cell>
          <cell r="C47" t="str">
            <v>普通土  挖深 5m</v>
          </cell>
          <cell r="D47" t="str">
            <v>m3</v>
          </cell>
          <cell r="E47">
            <v>707</v>
          </cell>
          <cell r="F47" t="str">
            <v>參考單價</v>
          </cell>
        </row>
        <row r="48">
          <cell r="A48">
            <v>45</v>
          </cell>
          <cell r="B48" t="str">
            <v xml:space="preserve"> 人工水中挖基礎</v>
          </cell>
          <cell r="C48" t="str">
            <v>30%砂礫  挖深1m</v>
          </cell>
          <cell r="D48" t="str">
            <v>m3</v>
          </cell>
          <cell r="E48">
            <v>257</v>
          </cell>
          <cell r="F48" t="str">
            <v>參考單價</v>
          </cell>
        </row>
        <row r="49">
          <cell r="A49">
            <v>46</v>
          </cell>
          <cell r="B49" t="str">
            <v xml:space="preserve"> 人工水中挖基礎</v>
          </cell>
          <cell r="C49" t="str">
            <v>30%砂礫  挖深2m</v>
          </cell>
          <cell r="D49" t="str">
            <v>m3</v>
          </cell>
          <cell r="E49">
            <v>348</v>
          </cell>
          <cell r="F49" t="str">
            <v>參考單價</v>
          </cell>
        </row>
        <row r="50">
          <cell r="A50">
            <v>47</v>
          </cell>
          <cell r="B50" t="str">
            <v xml:space="preserve"> 人工水中挖基礎</v>
          </cell>
          <cell r="C50" t="str">
            <v>30%砂礫  挖深3m</v>
          </cell>
          <cell r="D50" t="str">
            <v>m3</v>
          </cell>
          <cell r="E50">
            <v>482</v>
          </cell>
          <cell r="F50" t="str">
            <v>參考單價</v>
          </cell>
        </row>
        <row r="51">
          <cell r="A51">
            <v>48</v>
          </cell>
          <cell r="B51" t="str">
            <v xml:space="preserve"> 人工水中挖基礎</v>
          </cell>
          <cell r="C51" t="str">
            <v>30%砂礫  挖深4m</v>
          </cell>
          <cell r="D51" t="str">
            <v>m3</v>
          </cell>
          <cell r="E51">
            <v>621</v>
          </cell>
          <cell r="F51" t="str">
            <v>參考單價</v>
          </cell>
        </row>
        <row r="52">
          <cell r="A52">
            <v>49</v>
          </cell>
          <cell r="B52" t="str">
            <v xml:space="preserve"> 人工水中挖基礎</v>
          </cell>
          <cell r="C52" t="str">
            <v>30%砂礫  挖深5m</v>
          </cell>
          <cell r="D52" t="str">
            <v>m3</v>
          </cell>
          <cell r="E52">
            <v>803</v>
          </cell>
          <cell r="F52" t="str">
            <v>參考單價</v>
          </cell>
        </row>
        <row r="53">
          <cell r="A53">
            <v>50</v>
          </cell>
          <cell r="B53" t="str">
            <v xml:space="preserve"> 人工水中挖基礎</v>
          </cell>
          <cell r="C53" t="str">
            <v>礫石土  挖深 1m</v>
          </cell>
          <cell r="D53" t="str">
            <v>m3</v>
          </cell>
          <cell r="E53">
            <v>295</v>
          </cell>
          <cell r="F53" t="str">
            <v>參考單價</v>
          </cell>
        </row>
        <row r="54">
          <cell r="A54">
            <v>51</v>
          </cell>
          <cell r="B54" t="str">
            <v xml:space="preserve"> 人工水中挖基礎</v>
          </cell>
          <cell r="C54" t="str">
            <v>礫石土  挖深 2m</v>
          </cell>
          <cell r="D54" t="str">
            <v>m3</v>
          </cell>
          <cell r="E54">
            <v>434</v>
          </cell>
          <cell r="F54" t="str">
            <v>參考單價</v>
          </cell>
        </row>
        <row r="55">
          <cell r="A55">
            <v>52</v>
          </cell>
          <cell r="B55" t="str">
            <v xml:space="preserve"> 人工水中挖基礎</v>
          </cell>
          <cell r="C55" t="str">
            <v>礫石土  挖深 3m</v>
          </cell>
          <cell r="D55" t="str">
            <v>m3</v>
          </cell>
          <cell r="E55">
            <v>616</v>
          </cell>
          <cell r="F55" t="str">
            <v>參考單價</v>
          </cell>
        </row>
        <row r="56">
          <cell r="A56">
            <v>53</v>
          </cell>
          <cell r="B56" t="str">
            <v xml:space="preserve"> 人工水中挖基礎</v>
          </cell>
          <cell r="C56" t="str">
            <v>礫石土  挖深 4m</v>
          </cell>
          <cell r="D56" t="str">
            <v>m3</v>
          </cell>
          <cell r="E56">
            <v>798</v>
          </cell>
          <cell r="F56" t="str">
            <v>參考單價</v>
          </cell>
        </row>
        <row r="57">
          <cell r="A57">
            <v>54</v>
          </cell>
          <cell r="B57" t="str">
            <v xml:space="preserve"> 人工水中挖基礎</v>
          </cell>
          <cell r="C57" t="str">
            <v>礫石土  挖深 5m</v>
          </cell>
          <cell r="D57" t="str">
            <v>m3</v>
          </cell>
          <cell r="E57">
            <v>1023</v>
          </cell>
          <cell r="F57" t="str">
            <v>參考單價</v>
          </cell>
        </row>
        <row r="58">
          <cell r="A58">
            <v>55</v>
          </cell>
          <cell r="B58" t="str">
            <v xml:space="preserve"> 人工水中挖基礎</v>
          </cell>
          <cell r="C58" t="str">
            <v>軟岩  挖深 1m</v>
          </cell>
          <cell r="D58" t="str">
            <v>m3</v>
          </cell>
          <cell r="E58">
            <v>696</v>
          </cell>
          <cell r="F58" t="str">
            <v>參考單價</v>
          </cell>
        </row>
        <row r="59">
          <cell r="A59">
            <v>56</v>
          </cell>
          <cell r="B59" t="str">
            <v xml:space="preserve"> 人工水中挖基礎</v>
          </cell>
          <cell r="C59" t="str">
            <v>軟岩  挖深 2m</v>
          </cell>
          <cell r="D59" t="str">
            <v>m3</v>
          </cell>
          <cell r="E59">
            <v>964</v>
          </cell>
          <cell r="F59" t="str">
            <v>參考單價</v>
          </cell>
        </row>
        <row r="60">
          <cell r="A60">
            <v>57</v>
          </cell>
          <cell r="B60" t="str">
            <v xml:space="preserve"> 人工水中挖基礎</v>
          </cell>
          <cell r="C60" t="str">
            <v>軟岩  挖深 3m</v>
          </cell>
          <cell r="D60" t="str">
            <v>m3</v>
          </cell>
          <cell r="E60">
            <v>1607</v>
          </cell>
          <cell r="F60" t="str">
            <v>參考單價</v>
          </cell>
        </row>
        <row r="61">
          <cell r="A61">
            <v>58</v>
          </cell>
          <cell r="B61" t="str">
            <v xml:space="preserve"> 挖土石方</v>
          </cell>
          <cell r="C61" t="str">
            <v>推土機作業</v>
          </cell>
          <cell r="D61" t="str">
            <v>m3</v>
          </cell>
          <cell r="E61">
            <v>29</v>
          </cell>
          <cell r="F61" t="str">
            <v>參考單價</v>
          </cell>
        </row>
        <row r="62">
          <cell r="A62">
            <v>59</v>
          </cell>
          <cell r="B62" t="str">
            <v xml:space="preserve"> 機械挖普通土</v>
          </cell>
          <cell r="D62" t="str">
            <v>m3</v>
          </cell>
          <cell r="E62">
            <v>44</v>
          </cell>
          <cell r="F62" t="str">
            <v>參考單價</v>
          </cell>
        </row>
        <row r="63">
          <cell r="A63">
            <v>60</v>
          </cell>
          <cell r="B63" t="str">
            <v xml:space="preserve"> 挖普通土－30%以上砂礫</v>
          </cell>
          <cell r="D63" t="str">
            <v>m3</v>
          </cell>
          <cell r="E63">
            <v>58</v>
          </cell>
          <cell r="F63" t="str">
            <v>參考單價</v>
          </cell>
        </row>
        <row r="64">
          <cell r="A64">
            <v>61</v>
          </cell>
          <cell r="B64" t="str">
            <v xml:space="preserve"> 挖卵、塊石土、硬黏土</v>
          </cell>
          <cell r="D64" t="str">
            <v>m3</v>
          </cell>
          <cell r="E64">
            <v>80</v>
          </cell>
          <cell r="F64" t="str">
            <v>參考單價</v>
          </cell>
        </row>
        <row r="65">
          <cell r="A65">
            <v>62</v>
          </cell>
          <cell r="B65" t="str">
            <v xml:space="preserve"> 機械挖硬岩</v>
          </cell>
          <cell r="D65" t="str">
            <v>m3</v>
          </cell>
          <cell r="E65">
            <v>289</v>
          </cell>
          <cell r="F65" t="str">
            <v>參考單價</v>
          </cell>
        </row>
        <row r="66">
          <cell r="A66">
            <v>63</v>
          </cell>
          <cell r="B66" t="str">
            <v xml:space="preserve"> 機械挖軟岩</v>
          </cell>
          <cell r="D66" t="str">
            <v>m3</v>
          </cell>
          <cell r="E66">
            <v>166</v>
          </cell>
          <cell r="F66" t="str">
            <v>參考單價</v>
          </cell>
        </row>
        <row r="67">
          <cell r="A67">
            <v>64</v>
          </cell>
          <cell r="B67" t="str">
            <v xml:space="preserve"> 回填土 (人工)</v>
          </cell>
          <cell r="D67" t="str">
            <v>m3</v>
          </cell>
          <cell r="E67">
            <v>31</v>
          </cell>
          <cell r="F67" t="str">
            <v>參考單價</v>
          </cell>
        </row>
        <row r="68">
          <cell r="A68">
            <v>65</v>
          </cell>
          <cell r="B68" t="str">
            <v xml:space="preserve"> 回填土 (機械)</v>
          </cell>
          <cell r="D68" t="str">
            <v>m3</v>
          </cell>
          <cell r="E68">
            <v>13</v>
          </cell>
          <cell r="F68" t="str">
            <v>參考單價</v>
          </cell>
        </row>
        <row r="69">
          <cell r="A69">
            <v>66</v>
          </cell>
          <cell r="B69" t="str">
            <v xml:space="preserve"> 機械打除鋼筋混凝土</v>
          </cell>
          <cell r="D69" t="str">
            <v>m3</v>
          </cell>
          <cell r="E69">
            <v>196</v>
          </cell>
          <cell r="F69" t="str">
            <v>參考單價</v>
          </cell>
        </row>
        <row r="70">
          <cell r="A70">
            <v>67</v>
          </cell>
          <cell r="B70" t="str">
            <v xml:space="preserve"> 機械打除混凝土砌塊石</v>
          </cell>
          <cell r="D70" t="str">
            <v>m3</v>
          </cell>
          <cell r="E70">
            <v>24</v>
          </cell>
          <cell r="F70" t="str">
            <v>參考單價</v>
          </cell>
        </row>
        <row r="71">
          <cell r="A71">
            <v>68</v>
          </cell>
          <cell r="B71" t="str">
            <v xml:space="preserve"> 機械打除 1:3:6 混凝土</v>
          </cell>
          <cell r="D71" t="str">
            <v>m3</v>
          </cell>
          <cell r="E71">
            <v>86</v>
          </cell>
          <cell r="F71" t="str">
            <v>參考單價</v>
          </cell>
        </row>
        <row r="72">
          <cell r="A72">
            <v>69</v>
          </cell>
          <cell r="B72" t="str">
            <v xml:space="preserve"> 鋼筋加工及組立</v>
          </cell>
          <cell r="D72" t="str">
            <v>噸</v>
          </cell>
          <cell r="E72">
            <v>4895</v>
          </cell>
          <cell r="F72" t="str">
            <v>參考單價</v>
          </cell>
        </row>
        <row r="73">
          <cell r="A73">
            <v>70</v>
          </cell>
          <cell r="B73" t="str">
            <v>175kg/c㎡及以下PC</v>
          </cell>
          <cell r="C73" t="str">
            <v>澆注費</v>
          </cell>
          <cell r="D73" t="str">
            <v>m3</v>
          </cell>
          <cell r="E73">
            <v>180</v>
          </cell>
          <cell r="F73" t="str">
            <v>參考單價</v>
          </cell>
        </row>
        <row r="74">
          <cell r="A74">
            <v>71</v>
          </cell>
          <cell r="B74" t="str">
            <v xml:space="preserve"> 210kg/c㎡及以上PC</v>
          </cell>
          <cell r="C74" t="str">
            <v>澆注費</v>
          </cell>
          <cell r="D74" t="str">
            <v>m3</v>
          </cell>
          <cell r="E74">
            <v>200</v>
          </cell>
          <cell r="F74" t="str">
            <v>參考單價</v>
          </cell>
        </row>
        <row r="75">
          <cell r="A75">
            <v>73</v>
          </cell>
          <cell r="B75" t="str">
            <v xml:space="preserve"> 軀體模板製作及裝拆</v>
          </cell>
          <cell r="C75" t="str">
            <v>裸露</v>
          </cell>
          <cell r="D75" t="str">
            <v>㎡</v>
          </cell>
          <cell r="E75">
            <v>184</v>
          </cell>
          <cell r="F75" t="str">
            <v>參考單價</v>
          </cell>
        </row>
        <row r="76">
          <cell r="A76">
            <v>72</v>
          </cell>
          <cell r="B76" t="str">
            <v xml:space="preserve"> 基礎模板製作及裝拆</v>
          </cell>
          <cell r="C76" t="str">
            <v>隱蔽</v>
          </cell>
          <cell r="D76" t="str">
            <v>㎡</v>
          </cell>
          <cell r="E76">
            <v>171</v>
          </cell>
          <cell r="F76" t="str">
            <v>參考單價</v>
          </cell>
        </row>
        <row r="77">
          <cell r="A77">
            <v>74</v>
          </cell>
          <cell r="B77" t="str">
            <v xml:space="preserve"> 結構模板製作及裝拆</v>
          </cell>
          <cell r="D77" t="str">
            <v>㎡</v>
          </cell>
          <cell r="E77">
            <v>331</v>
          </cell>
          <cell r="F77" t="str">
            <v>參考單價</v>
          </cell>
        </row>
        <row r="78">
          <cell r="A78">
            <v>75</v>
          </cell>
          <cell r="B78" t="str">
            <v xml:space="preserve"> 預鑄樑模板製作及裝拆</v>
          </cell>
          <cell r="D78" t="str">
            <v>㎡</v>
          </cell>
          <cell r="E78">
            <v>230</v>
          </cell>
          <cell r="F78" t="str">
            <v>參考單價</v>
          </cell>
        </row>
        <row r="79">
          <cell r="A79">
            <v>76</v>
          </cell>
          <cell r="B79" t="str">
            <v xml:space="preserve"> 軀體鋼模製作及裝拆</v>
          </cell>
          <cell r="D79" t="str">
            <v>㎡</v>
          </cell>
          <cell r="E79">
            <v>217</v>
          </cell>
          <cell r="F79" t="str">
            <v>參考單價</v>
          </cell>
        </row>
        <row r="80">
          <cell r="A80">
            <v>77</v>
          </cell>
          <cell r="B80" t="str">
            <v xml:space="preserve"> 滾壓 (二次以上)</v>
          </cell>
          <cell r="C80" t="str">
            <v>滾壓機 8T以上</v>
          </cell>
          <cell r="D80" t="str">
            <v>㎡</v>
          </cell>
          <cell r="E80">
            <v>11</v>
          </cell>
          <cell r="F80" t="str">
            <v>參考單價</v>
          </cell>
        </row>
        <row r="81">
          <cell r="A81">
            <v>78</v>
          </cell>
          <cell r="B81" t="str">
            <v xml:space="preserve"> φ30cm 涵管埋設</v>
          </cell>
          <cell r="C81" t="str">
            <v>涵管長 2.54 m</v>
          </cell>
          <cell r="D81" t="str">
            <v>支</v>
          </cell>
          <cell r="E81">
            <v>145</v>
          </cell>
          <cell r="F81" t="str">
            <v>參考單價</v>
          </cell>
        </row>
        <row r="82">
          <cell r="A82">
            <v>79</v>
          </cell>
          <cell r="B82" t="str">
            <v xml:space="preserve"> φ45cm 涵管埋設</v>
          </cell>
          <cell r="C82" t="str">
            <v>涵管長 2.54 m</v>
          </cell>
          <cell r="D82" t="str">
            <v>支</v>
          </cell>
          <cell r="E82">
            <v>338</v>
          </cell>
          <cell r="F82" t="str">
            <v>參考單價</v>
          </cell>
        </row>
        <row r="83">
          <cell r="A83">
            <v>80</v>
          </cell>
          <cell r="B83" t="str">
            <v xml:space="preserve"> φ60cm 涵管埋設</v>
          </cell>
          <cell r="C83" t="str">
            <v>涵管長 2.54 m</v>
          </cell>
          <cell r="D83" t="str">
            <v>支</v>
          </cell>
          <cell r="E83">
            <v>458</v>
          </cell>
          <cell r="F83" t="str">
            <v>參考單價</v>
          </cell>
        </row>
        <row r="84">
          <cell r="A84">
            <v>81</v>
          </cell>
          <cell r="B84" t="str">
            <v xml:space="preserve"> φ75cm 涵管埋設</v>
          </cell>
          <cell r="C84" t="str">
            <v>涵管長 2.54 m</v>
          </cell>
          <cell r="D84" t="str">
            <v>支</v>
          </cell>
          <cell r="E84">
            <v>516</v>
          </cell>
          <cell r="F84" t="str">
            <v>參考單價</v>
          </cell>
        </row>
        <row r="85">
          <cell r="A85">
            <v>82</v>
          </cell>
          <cell r="B85" t="str">
            <v xml:space="preserve"> φ90cm 涵管埋設</v>
          </cell>
          <cell r="C85" t="str">
            <v>涵管長 2.54 m</v>
          </cell>
          <cell r="D85" t="str">
            <v>支</v>
          </cell>
          <cell r="E85">
            <v>731</v>
          </cell>
          <cell r="F85" t="str">
            <v>參考單價</v>
          </cell>
        </row>
        <row r="86">
          <cell r="A86">
            <v>83</v>
          </cell>
          <cell r="B86" t="str">
            <v xml:space="preserve"> φ100cm 涵管埋設</v>
          </cell>
          <cell r="C86" t="str">
            <v>涵管長 2.54 m</v>
          </cell>
          <cell r="D86" t="str">
            <v>支</v>
          </cell>
          <cell r="E86">
            <v>892</v>
          </cell>
          <cell r="F86" t="str">
            <v>參考單價</v>
          </cell>
        </row>
        <row r="87">
          <cell r="A87">
            <v>84</v>
          </cell>
          <cell r="B87" t="str">
            <v xml:space="preserve"> φ120cm 涵管埋設</v>
          </cell>
          <cell r="C87" t="str">
            <v>涵管長 2.54 m</v>
          </cell>
          <cell r="D87" t="str">
            <v>支</v>
          </cell>
          <cell r="E87">
            <v>1145</v>
          </cell>
          <cell r="F87" t="str">
            <v>參考單價</v>
          </cell>
        </row>
        <row r="88">
          <cell r="A88">
            <v>85</v>
          </cell>
          <cell r="B88" t="str">
            <v xml:space="preserve"> φ150cm 涵管埋設</v>
          </cell>
          <cell r="C88" t="str">
            <v>涵管長 2.54 m</v>
          </cell>
          <cell r="D88" t="str">
            <v>支</v>
          </cell>
          <cell r="E88">
            <v>1260</v>
          </cell>
          <cell r="F88" t="str">
            <v>參考單價</v>
          </cell>
        </row>
        <row r="89">
          <cell r="A89">
            <v>86</v>
          </cell>
          <cell r="B89" t="str">
            <v xml:space="preserve"> φ180cm 涵管埋設</v>
          </cell>
          <cell r="C89" t="str">
            <v>涵管長 2.54 m</v>
          </cell>
          <cell r="D89" t="str">
            <v>支</v>
          </cell>
          <cell r="E89">
            <v>1730</v>
          </cell>
          <cell r="F89" t="str">
            <v>參考單價</v>
          </cell>
        </row>
        <row r="90">
          <cell r="A90">
            <v>87</v>
          </cell>
          <cell r="B90" t="str">
            <v xml:space="preserve"> φ200cm 涵管埋設</v>
          </cell>
          <cell r="C90" t="str">
            <v>涵管長 2.54 m</v>
          </cell>
          <cell r="D90" t="str">
            <v>支</v>
          </cell>
          <cell r="E90">
            <v>2150</v>
          </cell>
          <cell r="F90" t="str">
            <v>參考單價</v>
          </cell>
        </row>
        <row r="91">
          <cell r="A91" t="str">
            <v>a0</v>
          </cell>
          <cell r="B91" t="str">
            <v>局 設 分 析 表</v>
          </cell>
        </row>
        <row r="92">
          <cell r="A92" t="str">
            <v>a39</v>
          </cell>
          <cell r="B92" t="str">
            <v xml:space="preserve"> 採 淨 砂</v>
          </cell>
          <cell r="C92"/>
          <cell r="D92" t="str">
            <v>m3</v>
          </cell>
          <cell r="E92">
            <v>402.8</v>
          </cell>
          <cell r="F92" t="str">
            <v>單價分析</v>
          </cell>
        </row>
        <row r="93">
          <cell r="A93" t="str">
            <v>a40</v>
          </cell>
          <cell r="B93" t="str">
            <v xml:space="preserve"> 採淨石子</v>
          </cell>
          <cell r="C93"/>
          <cell r="D93" t="str">
            <v>m3</v>
          </cell>
          <cell r="E93">
            <v>508.8</v>
          </cell>
          <cell r="F93" t="str">
            <v>單價分析</v>
          </cell>
        </row>
        <row r="94">
          <cell r="A94" t="str">
            <v>a41</v>
          </cell>
          <cell r="B94" t="str">
            <v xml:space="preserve"> 採淨塊石( φ20~30cm )</v>
          </cell>
          <cell r="C94"/>
          <cell r="D94" t="str">
            <v>m3</v>
          </cell>
          <cell r="E94">
            <v>270.3</v>
          </cell>
          <cell r="F94" t="str">
            <v>單價分析</v>
          </cell>
        </row>
        <row r="95">
          <cell r="A95" t="str">
            <v>a43</v>
          </cell>
          <cell r="B95" t="str">
            <v xml:space="preserve"> 採天然級配</v>
          </cell>
          <cell r="C95"/>
          <cell r="D95" t="str">
            <v>m3</v>
          </cell>
          <cell r="E95">
            <v>180.2</v>
          </cell>
          <cell r="F95" t="str">
            <v>單價分析</v>
          </cell>
        </row>
        <row r="96">
          <cell r="A96" t="str">
            <v>a44</v>
          </cell>
          <cell r="B96" t="str">
            <v xml:space="preserve"> 採背填卵石</v>
          </cell>
          <cell r="C96"/>
          <cell r="D96" t="str">
            <v>m3</v>
          </cell>
          <cell r="E96">
            <v>190.8</v>
          </cell>
          <cell r="F96" t="str">
            <v>單價分析</v>
          </cell>
        </row>
        <row r="97">
          <cell r="A97" t="str">
            <v>a45</v>
          </cell>
          <cell r="B97" t="str">
            <v xml:space="preserve"> 採角石( 石長 25x25x30cm )</v>
          </cell>
          <cell r="C97"/>
          <cell r="D97" t="str">
            <v>塊</v>
          </cell>
          <cell r="E97">
            <v>53.099999999999994</v>
          </cell>
          <cell r="F97" t="str">
            <v>單價分析</v>
          </cell>
        </row>
        <row r="98">
          <cell r="A98" t="str">
            <v>a46</v>
          </cell>
          <cell r="B98" t="str">
            <v xml:space="preserve"> 採割石 ( 石面 0.04㎡ )</v>
          </cell>
          <cell r="C98"/>
          <cell r="D98" t="str">
            <v>m3</v>
          </cell>
          <cell r="E98">
            <v>524.29999999999995</v>
          </cell>
          <cell r="F98" t="str">
            <v>單價分析</v>
          </cell>
        </row>
        <row r="99">
          <cell r="A99" t="str">
            <v>a47</v>
          </cell>
          <cell r="B99" t="str">
            <v xml:space="preserve"> 人工拌合1:2水泥砂漿</v>
          </cell>
          <cell r="C99"/>
          <cell r="D99" t="str">
            <v>m3</v>
          </cell>
          <cell r="E99">
            <v>2901.1</v>
          </cell>
          <cell r="F99" t="str">
            <v>單價分析</v>
          </cell>
        </row>
        <row r="100">
          <cell r="A100" t="str">
            <v>a48</v>
          </cell>
          <cell r="B100" t="str">
            <v xml:space="preserve"> 人工拌合1:3水泥砂漿</v>
          </cell>
          <cell r="C100"/>
          <cell r="D100" t="str">
            <v>m3</v>
          </cell>
          <cell r="E100">
            <v>2513.1999999999998</v>
          </cell>
          <cell r="F100" t="str">
            <v>單價分析</v>
          </cell>
        </row>
        <row r="101">
          <cell r="A101" t="str">
            <v>a49</v>
          </cell>
          <cell r="B101" t="str">
            <v xml:space="preserve"> 人工拌合1:4水泥砂漿</v>
          </cell>
          <cell r="C101"/>
          <cell r="D101" t="str">
            <v>m3</v>
          </cell>
          <cell r="E101">
            <v>2291.8200000000002</v>
          </cell>
          <cell r="F101" t="str">
            <v>單價分析</v>
          </cell>
        </row>
        <row r="102">
          <cell r="A102" t="str">
            <v>a50</v>
          </cell>
          <cell r="B102" t="str">
            <v xml:space="preserve"> 人工拌合350kg/c㎡混凝土</v>
          </cell>
          <cell r="C102"/>
          <cell r="D102" t="str">
            <v>m3</v>
          </cell>
          <cell r="E102">
            <v>2914.81</v>
          </cell>
          <cell r="F102" t="str">
            <v>單價分析</v>
          </cell>
        </row>
        <row r="103">
          <cell r="A103" t="str">
            <v>a51</v>
          </cell>
          <cell r="B103" t="str">
            <v xml:space="preserve"> 人工拌合210kg/c㎡混凝土</v>
          </cell>
          <cell r="C103"/>
          <cell r="D103" t="str">
            <v>m3</v>
          </cell>
          <cell r="E103">
            <v>2478.04</v>
          </cell>
          <cell r="F103" t="str">
            <v>單價分析</v>
          </cell>
        </row>
        <row r="104">
          <cell r="A104" t="str">
            <v>a52</v>
          </cell>
          <cell r="B104" t="str">
            <v xml:space="preserve"> 人工拌合140kg/c㎡混凝土</v>
          </cell>
          <cell r="C104"/>
          <cell r="D104" t="str">
            <v>m3</v>
          </cell>
          <cell r="E104">
            <v>2205.1000000000004</v>
          </cell>
          <cell r="F104" t="str">
            <v>單價分析</v>
          </cell>
        </row>
        <row r="105">
          <cell r="A105" t="str">
            <v>a53</v>
          </cell>
          <cell r="B105" t="str">
            <v xml:space="preserve"> 人工拌合125kg/c㎡混凝土</v>
          </cell>
          <cell r="C105"/>
          <cell r="D105" t="str">
            <v>m3</v>
          </cell>
          <cell r="E105">
            <v>2047.88</v>
          </cell>
          <cell r="F105" t="str">
            <v>單價分析</v>
          </cell>
        </row>
        <row r="106">
          <cell r="A106" t="str">
            <v>a55</v>
          </cell>
          <cell r="B106" t="str">
            <v xml:space="preserve"> 機拌 350kg/c㎡混凝土</v>
          </cell>
          <cell r="C106"/>
          <cell r="D106" t="str">
            <v>m3</v>
          </cell>
          <cell r="E106">
            <v>1348.575</v>
          </cell>
          <cell r="F106" t="str">
            <v>單價分析</v>
          </cell>
        </row>
        <row r="107">
          <cell r="A107" t="str">
            <v>a56</v>
          </cell>
          <cell r="B107" t="str">
            <v xml:space="preserve"> 機拌 210kg/c㎡混凝土</v>
          </cell>
          <cell r="C107"/>
          <cell r="D107" t="str">
            <v>m3</v>
          </cell>
          <cell r="E107">
            <v>1279.3</v>
          </cell>
          <cell r="F107" t="str">
            <v>單價分析</v>
          </cell>
        </row>
        <row r="108">
          <cell r="A108" t="str">
            <v>a57</v>
          </cell>
          <cell r="B108" t="str">
            <v xml:space="preserve"> 機拌 175kg/c㎡混凝土</v>
          </cell>
          <cell r="C108"/>
          <cell r="D108" t="str">
            <v>m3</v>
          </cell>
          <cell r="E108">
            <v>1257.4949999999999</v>
          </cell>
          <cell r="F108" t="str">
            <v>單價分析</v>
          </cell>
        </row>
        <row r="109">
          <cell r="A109" t="str">
            <v>a58</v>
          </cell>
          <cell r="B109" t="str">
            <v xml:space="preserve"> 機拌 140kg/c㎡混凝土</v>
          </cell>
          <cell r="C109"/>
          <cell r="D109" t="str">
            <v>m3</v>
          </cell>
          <cell r="E109">
            <v>1290.1500000000001</v>
          </cell>
          <cell r="F109" t="str">
            <v>單價分析</v>
          </cell>
        </row>
        <row r="110">
          <cell r="A110" t="str">
            <v>a59</v>
          </cell>
          <cell r="B110" t="str">
            <v xml:space="preserve"> 機拌 125kg/c㎡混凝土</v>
          </cell>
          <cell r="C110"/>
          <cell r="D110" t="str">
            <v>m3</v>
          </cell>
          <cell r="E110">
            <v>1308.8250000000003</v>
          </cell>
          <cell r="F110" t="str">
            <v>單價分析</v>
          </cell>
        </row>
        <row r="111">
          <cell r="A111" t="str">
            <v>a62</v>
          </cell>
          <cell r="B111" t="str">
            <v xml:space="preserve"> 7:3 卵(塊)石混凝土</v>
          </cell>
          <cell r="C111"/>
          <cell r="D111" t="str">
            <v>m3</v>
          </cell>
          <cell r="E111">
            <v>137.80000000000001</v>
          </cell>
          <cell r="F111" t="str">
            <v>單價分析</v>
          </cell>
        </row>
        <row r="112">
          <cell r="A112" t="str">
            <v>a69</v>
          </cell>
          <cell r="B112" t="str">
            <v xml:space="preserve"> 粗砌塊石</v>
          </cell>
          <cell r="C112"/>
          <cell r="D112" t="str">
            <v>㎡</v>
          </cell>
          <cell r="E112">
            <v>78.400000000000006</v>
          </cell>
          <cell r="F112" t="str">
            <v>單價分析</v>
          </cell>
        </row>
        <row r="113">
          <cell r="A113" t="str">
            <v>a70</v>
          </cell>
          <cell r="B113" t="str">
            <v xml:space="preserve"> 混凝土砌塊石 φ20cm</v>
          </cell>
          <cell r="C113"/>
          <cell r="D113" t="str">
            <v>㎡</v>
          </cell>
          <cell r="E113">
            <v>106.79999999999998</v>
          </cell>
          <cell r="F113" t="str">
            <v>單價分析</v>
          </cell>
        </row>
        <row r="114">
          <cell r="A114" t="str">
            <v>a71</v>
          </cell>
          <cell r="B114" t="str">
            <v xml:space="preserve"> 混凝土砌塊石 φ25cm</v>
          </cell>
          <cell r="C114"/>
          <cell r="D114" t="str">
            <v>㎡</v>
          </cell>
          <cell r="E114">
            <v>112.1</v>
          </cell>
          <cell r="F114" t="str">
            <v>單價分析</v>
          </cell>
        </row>
        <row r="115">
          <cell r="A115" t="str">
            <v>a72</v>
          </cell>
          <cell r="B115" t="str">
            <v xml:space="preserve"> 混凝土砌塊石 φ30cm</v>
          </cell>
          <cell r="C115"/>
          <cell r="D115" t="str">
            <v>㎡</v>
          </cell>
          <cell r="E115">
            <v>117.4</v>
          </cell>
          <cell r="F115" t="str">
            <v>單價分析</v>
          </cell>
        </row>
        <row r="116">
          <cell r="A116" t="str">
            <v>a73</v>
          </cell>
          <cell r="B116" t="str">
            <v xml:space="preserve"> 混凝土砌角石 25x25x30cm</v>
          </cell>
          <cell r="C116"/>
          <cell r="D116" t="str">
            <v>㎡</v>
          </cell>
          <cell r="E116">
            <v>218.89999999999998</v>
          </cell>
          <cell r="F116" t="str">
            <v>單價分析</v>
          </cell>
        </row>
        <row r="117">
          <cell r="A117" t="str">
            <v>a74</v>
          </cell>
          <cell r="B117" t="str">
            <v xml:space="preserve"> 背填卵石</v>
          </cell>
          <cell r="C117"/>
          <cell r="D117" t="str">
            <v>m3</v>
          </cell>
          <cell r="E117">
            <v>0</v>
          </cell>
          <cell r="F117" t="str">
            <v>單價分析</v>
          </cell>
        </row>
        <row r="118">
          <cell r="A118" t="str">
            <v>a75</v>
          </cell>
          <cell r="B118" t="str">
            <v xml:space="preserve"> 混凝土砌割石 ( 石面 0.04㎡ )</v>
          </cell>
          <cell r="C118"/>
          <cell r="D118" t="str">
            <v>㎡</v>
          </cell>
          <cell r="E118">
            <v>199.2</v>
          </cell>
          <cell r="F118" t="str">
            <v>單價分析</v>
          </cell>
        </row>
        <row r="119">
          <cell r="A119" t="str">
            <v>a78</v>
          </cell>
          <cell r="B119" t="str">
            <v xml:space="preserve"> 乾砌塊石(φ30cm)</v>
          </cell>
          <cell r="C119"/>
          <cell r="D119" t="str">
            <v>㎡</v>
          </cell>
          <cell r="E119">
            <v>108.7</v>
          </cell>
          <cell r="F119" t="str">
            <v>單價分析</v>
          </cell>
        </row>
        <row r="120">
          <cell r="A120" t="str">
            <v>a79</v>
          </cell>
          <cell r="B120" t="str">
            <v xml:space="preserve"> 排 塊 石</v>
          </cell>
          <cell r="C120"/>
          <cell r="D120" t="str">
            <v>㎡</v>
          </cell>
          <cell r="E120">
            <v>78.400000000000006</v>
          </cell>
          <cell r="F120" t="str">
            <v>單價分析</v>
          </cell>
        </row>
        <row r="121">
          <cell r="A121" t="str">
            <v>a81</v>
          </cell>
          <cell r="B121" t="str">
            <v xml:space="preserve"> 乾砌大塊石擋土牆</v>
          </cell>
          <cell r="C121"/>
          <cell r="D121" t="str">
            <v>㎡</v>
          </cell>
          <cell r="E121">
            <v>286.39999999999998</v>
          </cell>
          <cell r="F121" t="str">
            <v>單價分析</v>
          </cell>
        </row>
        <row r="122">
          <cell r="A122" t="str">
            <v>a82</v>
          </cell>
          <cell r="B122" t="str">
            <v xml:space="preserve"> 基礎模板製作及裝拆</v>
          </cell>
          <cell r="C122" t="str">
            <v>隱蔽</v>
          </cell>
          <cell r="D122" t="str">
            <v>㎡</v>
          </cell>
          <cell r="E122">
            <v>208.29999999999998</v>
          </cell>
          <cell r="F122" t="str">
            <v>單價分析</v>
          </cell>
        </row>
        <row r="123">
          <cell r="A123" t="str">
            <v>a83</v>
          </cell>
          <cell r="B123" t="str">
            <v xml:space="preserve"> 軀體模板製作及裝拆</v>
          </cell>
          <cell r="C123" t="str">
            <v>裸露</v>
          </cell>
          <cell r="D123" t="str">
            <v>㎡</v>
          </cell>
          <cell r="E123">
            <v>294.15000000000003</v>
          </cell>
          <cell r="F123" t="str">
            <v>單價分析</v>
          </cell>
        </row>
        <row r="124">
          <cell r="A124" t="str">
            <v>a84</v>
          </cell>
          <cell r="B124" t="str">
            <v xml:space="preserve"> 結構模板製作及裝拆</v>
          </cell>
          <cell r="C124"/>
          <cell r="D124" t="str">
            <v>㎡</v>
          </cell>
          <cell r="E124">
            <v>360.60000000000008</v>
          </cell>
          <cell r="F124" t="str">
            <v>單價分析</v>
          </cell>
        </row>
        <row r="125">
          <cell r="A125" t="str">
            <v>a86</v>
          </cell>
          <cell r="B125" t="str">
            <v xml:space="preserve"> 景觀模板製作及裝拆</v>
          </cell>
          <cell r="C125"/>
          <cell r="D125" t="str">
            <v>㎡</v>
          </cell>
          <cell r="E125">
            <v>416.85</v>
          </cell>
          <cell r="F125" t="str">
            <v>單價分析</v>
          </cell>
        </row>
        <row r="126">
          <cell r="A126" t="str">
            <v>a89</v>
          </cell>
          <cell r="B126" t="str">
            <v xml:space="preserve"> 鋪設級配路面(壓實厚t=15cm)</v>
          </cell>
          <cell r="C126"/>
          <cell r="D126" t="str">
            <v>100㎡</v>
          </cell>
          <cell r="E126">
            <v>84.8</v>
          </cell>
          <cell r="F126" t="str">
            <v>單價分析</v>
          </cell>
        </row>
        <row r="127">
          <cell r="A127" t="str">
            <v>a92</v>
          </cell>
          <cell r="B127" t="str">
            <v xml:space="preserve"> 15cm厚碎石級配料底層舖壓</v>
          </cell>
          <cell r="C127"/>
          <cell r="D127" t="str">
            <v>100㎡</v>
          </cell>
          <cell r="E127">
            <v>361.8</v>
          </cell>
          <cell r="F127" t="str">
            <v>單價分析</v>
          </cell>
        </row>
        <row r="128">
          <cell r="A128" t="str">
            <v>a93</v>
          </cell>
          <cell r="B128" t="str">
            <v xml:space="preserve"> 滾  壓</v>
          </cell>
          <cell r="C128"/>
          <cell r="D128" t="str">
            <v>100㎡</v>
          </cell>
          <cell r="E128">
            <v>2760</v>
          </cell>
          <cell r="F128" t="str">
            <v>單價分析</v>
          </cell>
        </row>
        <row r="129">
          <cell r="A129" t="str">
            <v>a94</v>
          </cell>
          <cell r="B129" t="str">
            <v xml:space="preserve"> 5公分灌入式瀝青面層</v>
          </cell>
          <cell r="C129" t="str">
            <v>約工資部份3%</v>
          </cell>
          <cell r="D129" t="str">
            <v>100㎡</v>
          </cell>
          <cell r="E129">
            <v>683</v>
          </cell>
          <cell r="F129" t="str">
            <v>單價分析</v>
          </cell>
        </row>
        <row r="130">
          <cell r="A130" t="str">
            <v>a95</v>
          </cell>
          <cell r="B130" t="str">
            <v xml:space="preserve"> 5公分瀝青混凝土面層</v>
          </cell>
          <cell r="C130"/>
          <cell r="D130" t="str">
            <v>100㎡</v>
          </cell>
          <cell r="E130">
            <v>1433.5</v>
          </cell>
          <cell r="F130" t="str">
            <v>單價分析</v>
          </cell>
        </row>
        <row r="131">
          <cell r="A131" t="str">
            <v>a96</v>
          </cell>
          <cell r="B131" t="str">
            <v xml:space="preserve"> 透  層(人工)</v>
          </cell>
          <cell r="C131"/>
          <cell r="D131" t="str">
            <v>100㎡</v>
          </cell>
          <cell r="E131">
            <v>532</v>
          </cell>
          <cell r="F131" t="str">
            <v>單價分析</v>
          </cell>
        </row>
        <row r="132">
          <cell r="A132" t="str">
            <v>a97</v>
          </cell>
          <cell r="B132" t="str">
            <v xml:space="preserve"> 粘  層</v>
          </cell>
          <cell r="C132"/>
          <cell r="D132" t="str">
            <v>100㎡</v>
          </cell>
          <cell r="E132">
            <v>284</v>
          </cell>
          <cell r="F132" t="str">
            <v>單價分析</v>
          </cell>
        </row>
        <row r="133">
          <cell r="A133" t="str">
            <v>a98</v>
          </cell>
          <cell r="B133" t="str">
            <v xml:space="preserve"> 熱拌塑膠反光標線</v>
          </cell>
          <cell r="C133"/>
          <cell r="D133" t="str">
            <v>㎡</v>
          </cell>
          <cell r="E133">
            <v>17.8</v>
          </cell>
          <cell r="F133" t="str">
            <v>單價分析</v>
          </cell>
        </row>
        <row r="134">
          <cell r="A134" t="str">
            <v>a113</v>
          </cell>
          <cell r="B134" t="str">
            <v xml:space="preserve"> 軟式盲溝管埋設</v>
          </cell>
          <cell r="C134"/>
          <cell r="D134" t="str">
            <v>10m</v>
          </cell>
          <cell r="E134">
            <v>60.2</v>
          </cell>
          <cell r="F134" t="str">
            <v>單價分析</v>
          </cell>
        </row>
        <row r="135">
          <cell r="A135" t="str">
            <v>a122</v>
          </cell>
          <cell r="B135" t="str">
            <v xml:space="preserve"> 打 木 樁</v>
          </cell>
          <cell r="C135"/>
          <cell r="D135" t="str">
            <v>支</v>
          </cell>
          <cell r="E135">
            <v>53</v>
          </cell>
          <cell r="F135" t="str">
            <v>單價分析</v>
          </cell>
        </row>
        <row r="136">
          <cell r="A136" t="str">
            <v>a123</v>
          </cell>
          <cell r="B136" t="str">
            <v xml:space="preserve"> 打20cmφPC基樁</v>
          </cell>
          <cell r="C136"/>
          <cell r="D136" t="str">
            <v>支</v>
          </cell>
          <cell r="E136">
            <v>150.4</v>
          </cell>
          <cell r="F136" t="str">
            <v>單價分析</v>
          </cell>
        </row>
        <row r="137">
          <cell r="A137" t="str">
            <v>a127</v>
          </cell>
          <cell r="B137" t="str">
            <v xml:space="preserve"> 打40cm口鋼筋混凝土基樁</v>
          </cell>
          <cell r="C137"/>
          <cell r="D137" t="str">
            <v>支</v>
          </cell>
          <cell r="E137">
            <v>411</v>
          </cell>
          <cell r="F137" t="str">
            <v>單價分析</v>
          </cell>
        </row>
        <row r="138">
          <cell r="A138" t="str">
            <v>a137</v>
          </cell>
          <cell r="B138" t="str">
            <v xml:space="preserve"> 0.6mφ反循環鑽掘樁</v>
          </cell>
          <cell r="C138"/>
          <cell r="D138" t="str">
            <v>30m</v>
          </cell>
          <cell r="E138">
            <v>18180</v>
          </cell>
          <cell r="F138" t="str">
            <v>單價分析</v>
          </cell>
        </row>
        <row r="139">
          <cell r="A139" t="str">
            <v>a145</v>
          </cell>
          <cell r="B139" t="str">
            <v xml:space="preserve"> 609.6mmφ鋼管基樁</v>
          </cell>
          <cell r="C139"/>
          <cell r="D139" t="str">
            <v>30m</v>
          </cell>
          <cell r="E139">
            <v>4565</v>
          </cell>
          <cell r="F139" t="str">
            <v>單價分析</v>
          </cell>
        </row>
        <row r="140">
          <cell r="A140" t="str">
            <v>a148</v>
          </cell>
          <cell r="B140" t="str">
            <v xml:space="preserve"> 打拔鋼鈑樁</v>
          </cell>
          <cell r="C140"/>
          <cell r="D140" t="str">
            <v>片</v>
          </cell>
          <cell r="E140">
            <v>2195</v>
          </cell>
          <cell r="F140" t="str">
            <v>單價分析</v>
          </cell>
        </row>
        <row r="141">
          <cell r="A141" t="str">
            <v>a153</v>
          </cell>
          <cell r="B141" t="str">
            <v xml:space="preserve"> 打拔鋼軌樁(37kg/m,長10m@0.6m)</v>
          </cell>
          <cell r="C141"/>
          <cell r="D141" t="str">
            <v>30m</v>
          </cell>
          <cell r="E141">
            <v>52436</v>
          </cell>
          <cell r="F141" t="str">
            <v>單價分析</v>
          </cell>
        </row>
        <row r="142">
          <cell r="A142" t="str">
            <v>a154</v>
          </cell>
          <cell r="B142" t="str">
            <v xml:space="preserve"> 打鋼軌樁</v>
          </cell>
          <cell r="C142"/>
          <cell r="D142" t="str">
            <v>支</v>
          </cell>
          <cell r="E142">
            <v>82.6</v>
          </cell>
          <cell r="F142" t="str">
            <v>單價分析</v>
          </cell>
        </row>
        <row r="143">
          <cell r="A143" t="str">
            <v>a172</v>
          </cell>
          <cell r="B143" t="str">
            <v xml:space="preserve"> 砌  磚 (B)</v>
          </cell>
          <cell r="C143"/>
          <cell r="D143" t="str">
            <v>㎡</v>
          </cell>
          <cell r="E143">
            <v>162.5</v>
          </cell>
          <cell r="F143" t="str">
            <v>單價分析</v>
          </cell>
        </row>
        <row r="144">
          <cell r="A144" t="str">
            <v>a175</v>
          </cell>
          <cell r="B144" t="str">
            <v xml:space="preserve"> 斬 石 子</v>
          </cell>
          <cell r="C144"/>
          <cell r="D144" t="str">
            <v>㎡</v>
          </cell>
          <cell r="E144">
            <v>596.4</v>
          </cell>
          <cell r="F144" t="str">
            <v>單價分析</v>
          </cell>
        </row>
        <row r="145">
          <cell r="A145" t="str">
            <v>a176</v>
          </cell>
          <cell r="B145" t="str">
            <v xml:space="preserve"> 洗 石 子</v>
          </cell>
          <cell r="C145"/>
          <cell r="D145" t="str">
            <v>㎡</v>
          </cell>
          <cell r="E145">
            <v>356.43400000000003</v>
          </cell>
          <cell r="F145" t="str">
            <v>單價分析</v>
          </cell>
        </row>
        <row r="146">
          <cell r="A146" t="str">
            <v>a177</v>
          </cell>
          <cell r="B146" t="str">
            <v xml:space="preserve"> 磨 石 子</v>
          </cell>
          <cell r="C146"/>
          <cell r="D146" t="str">
            <v>㎡</v>
          </cell>
          <cell r="E146">
            <v>495.6</v>
          </cell>
          <cell r="F146" t="str">
            <v>單價分析</v>
          </cell>
        </row>
        <row r="147">
          <cell r="A147" t="str">
            <v>a178</v>
          </cell>
          <cell r="B147" t="str">
            <v xml:space="preserve"> 貼馬賽克</v>
          </cell>
          <cell r="C147"/>
          <cell r="D147" t="str">
            <v>㎡</v>
          </cell>
          <cell r="E147">
            <v>333</v>
          </cell>
          <cell r="F147" t="str">
            <v>單價分析</v>
          </cell>
        </row>
        <row r="148">
          <cell r="A148" t="str">
            <v>a179</v>
          </cell>
          <cell r="B148" t="str">
            <v xml:space="preserve"> 貼 磁 磚</v>
          </cell>
          <cell r="C148"/>
          <cell r="D148" t="str">
            <v>㎡</v>
          </cell>
          <cell r="E148">
            <v>293.59999999999997</v>
          </cell>
          <cell r="F148" t="str">
            <v>單價分析</v>
          </cell>
        </row>
        <row r="149">
          <cell r="A149" t="str">
            <v>a180</v>
          </cell>
          <cell r="B149" t="str">
            <v xml:space="preserve"> 貼 石 片</v>
          </cell>
          <cell r="C149"/>
          <cell r="D149" t="str">
            <v>㎡</v>
          </cell>
          <cell r="E149">
            <v>759.32500000000005</v>
          </cell>
          <cell r="F149" t="str">
            <v>單價分析</v>
          </cell>
        </row>
        <row r="150">
          <cell r="A150" t="str">
            <v>a181</v>
          </cell>
          <cell r="B150" t="str">
            <v xml:space="preserve"> 鋪高壓地磚</v>
          </cell>
          <cell r="C150"/>
          <cell r="D150" t="str">
            <v>㎡</v>
          </cell>
          <cell r="E150">
            <v>160.6</v>
          </cell>
          <cell r="F150" t="str">
            <v>單價分析</v>
          </cell>
        </row>
        <row r="151">
          <cell r="A151" t="str">
            <v>a183</v>
          </cell>
          <cell r="B151" t="str">
            <v xml:space="preserve"> 護欄刷油漆</v>
          </cell>
          <cell r="C151"/>
          <cell r="D151" t="str">
            <v>㎡</v>
          </cell>
          <cell r="E151">
            <v>150</v>
          </cell>
          <cell r="F151" t="str">
            <v>單價分析</v>
          </cell>
        </row>
        <row r="152">
          <cell r="A152" t="str">
            <v>a184</v>
          </cell>
          <cell r="B152" t="str">
            <v xml:space="preserve"> 鋼料油漆(一底二度)</v>
          </cell>
          <cell r="C152"/>
          <cell r="D152" t="str">
            <v>㎡</v>
          </cell>
          <cell r="E152">
            <v>144</v>
          </cell>
          <cell r="F152" t="str">
            <v>單價分析</v>
          </cell>
        </row>
        <row r="153">
          <cell r="A153" t="str">
            <v>a185</v>
          </cell>
          <cell r="B153" t="str">
            <v xml:space="preserve"> 角鋼伸縮縫</v>
          </cell>
          <cell r="C153"/>
          <cell r="D153" t="str">
            <v>m</v>
          </cell>
          <cell r="E153">
            <v>4000</v>
          </cell>
          <cell r="F153" t="str">
            <v>單價分析</v>
          </cell>
        </row>
        <row r="154">
          <cell r="A154" t="str">
            <v>a188</v>
          </cell>
          <cell r="B154" t="str">
            <v xml:space="preserve"> 甲式齒型伸縮縫</v>
          </cell>
          <cell r="C154"/>
          <cell r="D154" t="str">
            <v>m</v>
          </cell>
          <cell r="E154">
            <v>3125</v>
          </cell>
          <cell r="F154" t="str">
            <v>單價分析</v>
          </cell>
        </row>
        <row r="155">
          <cell r="A155" t="str">
            <v>a191</v>
          </cell>
          <cell r="B155" t="str">
            <v xml:space="preserve"> 單排工作架</v>
          </cell>
          <cell r="C155"/>
          <cell r="D155" t="str">
            <v>㎡</v>
          </cell>
          <cell r="E155">
            <v>14.4</v>
          </cell>
          <cell r="F155" t="str">
            <v>單價分析</v>
          </cell>
        </row>
        <row r="156">
          <cell r="A156" t="str">
            <v>a194</v>
          </cell>
          <cell r="B156" t="str">
            <v xml:space="preserve"> 乙種鐵絲蛇籠</v>
          </cell>
          <cell r="C156"/>
          <cell r="D156" t="str">
            <v>m</v>
          </cell>
          <cell r="E156">
            <v>125</v>
          </cell>
          <cell r="F156" t="str">
            <v>單價分析</v>
          </cell>
        </row>
        <row r="157">
          <cell r="A157" t="str">
            <v>a199</v>
          </cell>
          <cell r="B157" t="str">
            <v xml:space="preserve"> 箱型網籠內填塊石</v>
          </cell>
          <cell r="C157"/>
          <cell r="D157" t="str">
            <v>m3</v>
          </cell>
          <cell r="E157">
            <v>159</v>
          </cell>
          <cell r="F157" t="str">
            <v>單價分析</v>
          </cell>
        </row>
        <row r="158">
          <cell r="A158" t="str">
            <v>a200</v>
          </cell>
          <cell r="B158" t="str">
            <v xml:space="preserve"> 坡面整理</v>
          </cell>
          <cell r="C158"/>
          <cell r="D158" t="str">
            <v>100㎡</v>
          </cell>
          <cell r="E158">
            <v>2120</v>
          </cell>
          <cell r="F158" t="str">
            <v>單價分析</v>
          </cell>
        </row>
        <row r="159">
          <cell r="A159" t="str">
            <v>a203</v>
          </cell>
          <cell r="B159" t="str">
            <v xml:space="preserve"> 邊坡噴植</v>
          </cell>
          <cell r="C159"/>
          <cell r="D159" t="str">
            <v>㎡</v>
          </cell>
          <cell r="E159">
            <v>11.129999999999999</v>
          </cell>
          <cell r="F159" t="str">
            <v>單價分析</v>
          </cell>
        </row>
        <row r="160">
          <cell r="A160" t="str">
            <v>a204</v>
          </cell>
          <cell r="B160" t="str">
            <v xml:space="preserve"> 客  土</v>
          </cell>
          <cell r="C160"/>
          <cell r="D160" t="str">
            <v>m3</v>
          </cell>
          <cell r="E160">
            <v>521.20000000000005</v>
          </cell>
          <cell r="F160" t="str">
            <v>單價分析</v>
          </cell>
        </row>
        <row r="161">
          <cell r="A161" t="str">
            <v>a206</v>
          </cell>
          <cell r="B161" t="str">
            <v xml:space="preserve"> 植生帶鋪植</v>
          </cell>
          <cell r="C161"/>
          <cell r="D161" t="str">
            <v>㎡</v>
          </cell>
          <cell r="E161">
            <v>14.01</v>
          </cell>
          <cell r="F161" t="str">
            <v>單價分析</v>
          </cell>
        </row>
        <row r="162">
          <cell r="A162" t="str">
            <v>a207</v>
          </cell>
          <cell r="B162" t="str">
            <v xml:space="preserve"> 打樁編柵</v>
          </cell>
          <cell r="C162"/>
          <cell r="D162" t="str">
            <v>m</v>
          </cell>
          <cell r="E162">
            <v>172</v>
          </cell>
          <cell r="F162" t="str">
            <v>單價分析</v>
          </cell>
        </row>
        <row r="163">
          <cell r="A163" t="str">
            <v>a208</v>
          </cell>
          <cell r="B163" t="str">
            <v xml:space="preserve"> 稻草蓆敷蓋</v>
          </cell>
          <cell r="C163"/>
          <cell r="D163" t="str">
            <v>㎡</v>
          </cell>
          <cell r="E163">
            <v>1.325</v>
          </cell>
          <cell r="F163" t="str">
            <v>單價分析</v>
          </cell>
        </row>
        <row r="164">
          <cell r="A164" t="str">
            <v>a209</v>
          </cell>
          <cell r="B164" t="str">
            <v xml:space="preserve"> 地被植物栽植</v>
          </cell>
          <cell r="C164"/>
          <cell r="D164" t="str">
            <v>㎡</v>
          </cell>
          <cell r="E164">
            <v>74.47999999999999</v>
          </cell>
          <cell r="F164" t="str">
            <v>單價分析</v>
          </cell>
        </row>
        <row r="165">
          <cell r="A165" t="str">
            <v>a210</v>
          </cell>
          <cell r="B165" t="str">
            <v xml:space="preserve"> 地被植物養護費</v>
          </cell>
          <cell r="C165"/>
          <cell r="D165" t="str">
            <v>㎡</v>
          </cell>
          <cell r="E165">
            <v>35.804000000000002</v>
          </cell>
          <cell r="F165" t="str">
            <v>單價分析</v>
          </cell>
        </row>
        <row r="166">
          <cell r="A166" t="str">
            <v>a211</v>
          </cell>
          <cell r="B166" t="str">
            <v xml:space="preserve"> 草花栽植</v>
          </cell>
          <cell r="C166"/>
          <cell r="D166" t="str">
            <v>株</v>
          </cell>
          <cell r="E166">
            <v>2.6059999999999999</v>
          </cell>
          <cell r="F166" t="str">
            <v>單價分析</v>
          </cell>
        </row>
        <row r="167">
          <cell r="A167" t="str">
            <v>a212</v>
          </cell>
          <cell r="B167" t="str">
            <v xml:space="preserve"> 草花栽植養護費</v>
          </cell>
          <cell r="C167"/>
          <cell r="D167" t="str">
            <v>株</v>
          </cell>
          <cell r="E167">
            <v>0.58300000000000007</v>
          </cell>
          <cell r="F167" t="str">
            <v>單價分析</v>
          </cell>
        </row>
        <row r="168">
          <cell r="A168" t="str">
            <v>a213</v>
          </cell>
          <cell r="B168" t="str">
            <v xml:space="preserve"> 灌木種植</v>
          </cell>
          <cell r="C168"/>
          <cell r="D168" t="str">
            <v>株</v>
          </cell>
          <cell r="E168">
            <v>76.349999999999994</v>
          </cell>
          <cell r="F168" t="str">
            <v>單價分析</v>
          </cell>
        </row>
        <row r="169">
          <cell r="A169" t="str">
            <v>a214</v>
          </cell>
          <cell r="B169" t="str">
            <v xml:space="preserve"> 灌木養護費</v>
          </cell>
          <cell r="C169"/>
          <cell r="D169" t="str">
            <v>株</v>
          </cell>
          <cell r="E169">
            <v>15.040000000000001</v>
          </cell>
          <cell r="F169" t="str">
            <v>單價分析</v>
          </cell>
        </row>
        <row r="170">
          <cell r="A170" t="str">
            <v>a215</v>
          </cell>
          <cell r="B170" t="str">
            <v xml:space="preserve"> 喬木栽植</v>
          </cell>
          <cell r="C170"/>
          <cell r="D170" t="str">
            <v>株</v>
          </cell>
          <cell r="E170">
            <v>499.73</v>
          </cell>
          <cell r="F170" t="str">
            <v>單價分析</v>
          </cell>
        </row>
        <row r="171">
          <cell r="A171" t="str">
            <v>a214</v>
          </cell>
          <cell r="B171" t="str">
            <v xml:space="preserve"> 灌木養護費</v>
          </cell>
          <cell r="C171"/>
          <cell r="D171" t="str">
            <v>株</v>
          </cell>
          <cell r="E171">
            <v>15.040000000000001</v>
          </cell>
          <cell r="F171" t="str">
            <v>單價分析</v>
          </cell>
        </row>
        <row r="172">
          <cell r="A172" t="str">
            <v>a215</v>
          </cell>
          <cell r="B172" t="str">
            <v xml:space="preserve"> 喬木栽植</v>
          </cell>
          <cell r="C172"/>
          <cell r="D172" t="str">
            <v>株</v>
          </cell>
          <cell r="E172">
            <v>499.73</v>
          </cell>
          <cell r="F172" t="str">
            <v>單價分析</v>
          </cell>
        </row>
        <row r="173">
          <cell r="A173" t="str">
            <v>a216</v>
          </cell>
          <cell r="B173" t="str">
            <v xml:space="preserve"> 喬木養護費</v>
          </cell>
          <cell r="C173"/>
          <cell r="D173" t="str">
            <v>株</v>
          </cell>
          <cell r="E173">
            <v>23.869999999999997</v>
          </cell>
          <cell r="F173" t="str">
            <v>單價分析</v>
          </cell>
        </row>
        <row r="174">
          <cell r="A174" t="str">
            <v>b0</v>
          </cell>
          <cell r="B174" t="str">
            <v>自 設 分 析 表</v>
          </cell>
        </row>
        <row r="175">
          <cell r="A175" t="str">
            <v>b1</v>
          </cell>
          <cell r="B175" t="str">
            <v xml:space="preserve"> 鑽心體取樣費</v>
          </cell>
          <cell r="C175" t="str">
            <v>一組三個</v>
          </cell>
          <cell r="D175" t="str">
            <v>組</v>
          </cell>
          <cell r="E175">
            <v>4000</v>
          </cell>
          <cell r="F175" t="str">
            <v>單價分析</v>
          </cell>
        </row>
        <row r="176">
          <cell r="A176" t="str">
            <v>b2</v>
          </cell>
          <cell r="B176" t="str">
            <v xml:space="preserve"> 營造綜合保險費</v>
          </cell>
          <cell r="C176"/>
          <cell r="D176" t="str">
            <v>式</v>
          </cell>
          <cell r="E176">
            <v>76800</v>
          </cell>
          <cell r="F176" t="str">
            <v>單價分析</v>
          </cell>
        </row>
        <row r="177">
          <cell r="A177" t="str">
            <v>b3</v>
          </cell>
          <cell r="B177" t="str">
            <v xml:space="preserve"> 水泥路面伸縮縫</v>
          </cell>
          <cell r="C177"/>
          <cell r="D177" t="str">
            <v>處</v>
          </cell>
          <cell r="E177">
            <v>188.5</v>
          </cell>
          <cell r="F177" t="str">
            <v>單價分析</v>
          </cell>
        </row>
        <row r="178">
          <cell r="A178" t="str">
            <v>b4</v>
          </cell>
          <cell r="B178" t="str">
            <v xml:space="preserve"> φ10cm仿木樁組立</v>
          </cell>
          <cell r="C178"/>
          <cell r="D178" t="str">
            <v>m</v>
          </cell>
          <cell r="E178">
            <v>78.400000000000006</v>
          </cell>
          <cell r="F178" t="str">
            <v>單價分析</v>
          </cell>
        </row>
        <row r="179">
          <cell r="A179" t="str">
            <v>b5</v>
          </cell>
          <cell r="B179" t="str">
            <v xml:space="preserve"> 鋪植草磚</v>
          </cell>
          <cell r="C179"/>
          <cell r="D179" t="str">
            <v>㎡</v>
          </cell>
          <cell r="E179">
            <v>223</v>
          </cell>
          <cell r="F179" t="str">
            <v>單價分析</v>
          </cell>
        </row>
        <row r="180">
          <cell r="A180" t="str">
            <v>b6</v>
          </cell>
          <cell r="B180" t="str">
            <v xml:space="preserve"> 打排φ20cm木樁</v>
          </cell>
          <cell r="C180"/>
          <cell r="D180" t="str">
            <v>m</v>
          </cell>
          <cell r="E180">
            <v>1149.5999999999999</v>
          </cell>
          <cell r="F180" t="str">
            <v>單價分析</v>
          </cell>
        </row>
        <row r="181">
          <cell r="A181" t="str">
            <v>b7</v>
          </cell>
          <cell r="B181" t="str">
            <v xml:space="preserve"> 廢方處理</v>
          </cell>
          <cell r="C181"/>
          <cell r="D181" t="str">
            <v>m3</v>
          </cell>
          <cell r="E181">
            <v>0</v>
          </cell>
          <cell r="F181" t="str">
            <v>單價分析</v>
          </cell>
        </row>
        <row r="182">
          <cell r="A182" t="str">
            <v>b8</v>
          </cell>
          <cell r="B182" t="str">
            <v xml:space="preserve"> 堤後回填</v>
          </cell>
          <cell r="C182"/>
          <cell r="D182" t="str">
            <v>m3</v>
          </cell>
          <cell r="E182">
            <v>31.799999999999997</v>
          </cell>
          <cell r="F182" t="str">
            <v>單價分析</v>
          </cell>
        </row>
        <row r="183">
          <cell r="A183" t="str">
            <v>b9</v>
          </cell>
          <cell r="B183" t="str">
            <v xml:space="preserve"> 遠運填土</v>
          </cell>
          <cell r="C183"/>
          <cell r="D183" t="str">
            <v>m3</v>
          </cell>
          <cell r="E183">
            <v>0</v>
          </cell>
          <cell r="F183" t="str">
            <v>單價分析</v>
          </cell>
        </row>
        <row r="184">
          <cell r="A184" t="str">
            <v>b10</v>
          </cell>
          <cell r="B184" t="str">
            <v xml:space="preserve"> 護  欄</v>
          </cell>
          <cell r="C184"/>
          <cell r="D184" t="str">
            <v>個</v>
          </cell>
          <cell r="E184">
            <v>0</v>
          </cell>
          <cell r="F184" t="str">
            <v>單價分析</v>
          </cell>
        </row>
        <row r="185">
          <cell r="A185" t="str">
            <v>b11</v>
          </cell>
          <cell r="B185" t="str">
            <v xml:space="preserve"> 高鍍鋅鋼絲箱型石籠</v>
          </cell>
          <cell r="C185"/>
          <cell r="D185" t="str">
            <v>m</v>
          </cell>
          <cell r="E185">
            <v>159</v>
          </cell>
          <cell r="F185" t="str">
            <v>單價分析</v>
          </cell>
        </row>
        <row r="186">
          <cell r="A186" t="str">
            <v>b12</v>
          </cell>
          <cell r="B186" t="str">
            <v xml:space="preserve"> 不銹鋼踏步</v>
          </cell>
          <cell r="C186"/>
          <cell r="D186" t="str">
            <v>支</v>
          </cell>
          <cell r="E186">
            <v>0</v>
          </cell>
          <cell r="F186" t="str">
            <v>單價分析</v>
          </cell>
        </row>
        <row r="187">
          <cell r="A187" t="str">
            <v>b13</v>
          </cell>
          <cell r="B187" t="str">
            <v xml:space="preserve"> 7噸鼎形塊製作及吊放</v>
          </cell>
          <cell r="C187"/>
          <cell r="D187" t="str">
            <v>個</v>
          </cell>
          <cell r="E187">
            <v>3132.38</v>
          </cell>
          <cell r="F187" t="str">
            <v>單價分析</v>
          </cell>
        </row>
        <row r="188">
          <cell r="A188" t="str">
            <v>b14</v>
          </cell>
          <cell r="B188" t="str">
            <v xml:space="preserve"> 10噸鼎形塊製作</v>
          </cell>
          <cell r="C188"/>
          <cell r="D188" t="str">
            <v>個</v>
          </cell>
          <cell r="E188">
            <v>2528.4</v>
          </cell>
          <cell r="F188" t="str">
            <v>單價分析</v>
          </cell>
        </row>
        <row r="189">
          <cell r="A189" t="str">
            <v>b15</v>
          </cell>
          <cell r="B189" t="str">
            <v xml:space="preserve"> 鋪空心磚</v>
          </cell>
          <cell r="C189"/>
          <cell r="D189" t="str">
            <v>㎡</v>
          </cell>
          <cell r="E189">
            <v>350.4</v>
          </cell>
          <cell r="F189" t="str">
            <v>單價分析</v>
          </cell>
        </row>
        <row r="190">
          <cell r="A190" t="str">
            <v>b16</v>
          </cell>
          <cell r="B190" t="str">
            <v xml:space="preserve"> 乾砌塊石(長徑20±10cm)</v>
          </cell>
          <cell r="C190"/>
          <cell r="D190" t="str">
            <v>㎡</v>
          </cell>
          <cell r="E190">
            <v>376.5</v>
          </cell>
          <cell r="F190" t="str">
            <v>單價分析</v>
          </cell>
        </row>
        <row r="191">
          <cell r="A191" t="str">
            <v>b17</v>
          </cell>
          <cell r="B191" t="str">
            <v xml:space="preserve"> 背填碎石級配料(t=20cm)</v>
          </cell>
          <cell r="C191"/>
          <cell r="D191" t="str">
            <v>m3</v>
          </cell>
          <cell r="E191">
            <v>106</v>
          </cell>
          <cell r="F191" t="str">
            <v>單價分析</v>
          </cell>
        </row>
        <row r="192">
          <cell r="A192" t="str">
            <v>b18</v>
          </cell>
          <cell r="B192" t="str">
            <v xml:space="preserve"> 植塊(卵)石</v>
          </cell>
          <cell r="C192"/>
          <cell r="D192" t="str">
            <v>㎡</v>
          </cell>
          <cell r="E192">
            <v>148.5</v>
          </cell>
          <cell r="F192" t="str">
            <v>單價分析</v>
          </cell>
        </row>
        <row r="193">
          <cell r="A193" t="str">
            <v>b19</v>
          </cell>
          <cell r="B193" t="str">
            <v xml:space="preserve"> 崁大塊石</v>
          </cell>
          <cell r="C193"/>
          <cell r="D193" t="str">
            <v>㎡</v>
          </cell>
          <cell r="E193">
            <v>148.5</v>
          </cell>
          <cell r="F193" t="str">
            <v>單價分析</v>
          </cell>
        </row>
        <row r="194">
          <cell r="A194" t="str">
            <v>b20</v>
          </cell>
          <cell r="B194" t="str">
            <v xml:space="preserve"> 舖設砂床(5cm)</v>
          </cell>
          <cell r="C194"/>
          <cell r="D194" t="str">
            <v>㎡</v>
          </cell>
          <cell r="E194">
            <v>60.2</v>
          </cell>
          <cell r="F194" t="str">
            <v>單價分析</v>
          </cell>
        </row>
        <row r="195">
          <cell r="A195" t="str">
            <v>b21</v>
          </cell>
          <cell r="B195" t="str">
            <v xml:space="preserve"> 型鋼製作及吊裝</v>
          </cell>
          <cell r="C195"/>
          <cell r="D195" t="str">
            <v>噸</v>
          </cell>
          <cell r="E195">
            <v>32000</v>
          </cell>
          <cell r="F195" t="str">
            <v>單價分析</v>
          </cell>
        </row>
        <row r="196">
          <cell r="A196" t="str">
            <v>b22</v>
          </cell>
          <cell r="B196" t="str">
            <v xml:space="preserve"> 打37.2kg/m鋼軌樁</v>
          </cell>
          <cell r="C196"/>
          <cell r="D196" t="str">
            <v>支</v>
          </cell>
          <cell r="E196">
            <v>759.2</v>
          </cell>
          <cell r="F196" t="str">
            <v>單價分析</v>
          </cell>
        </row>
        <row r="197">
          <cell r="A197" t="str">
            <v>b23</v>
          </cell>
          <cell r="B197" t="str">
            <v xml:space="preserve"> 遠運棄土</v>
          </cell>
          <cell r="C197"/>
          <cell r="D197" t="str">
            <v>m3</v>
          </cell>
          <cell r="E197">
            <v>15.899999999999999</v>
          </cell>
          <cell r="F197" t="str">
            <v>單價分析</v>
          </cell>
        </row>
        <row r="198">
          <cell r="A198" t="str">
            <v>b24</v>
          </cell>
          <cell r="B198" t="str">
            <v>排放混凝土框條</v>
          </cell>
          <cell r="C198"/>
          <cell r="D198" t="str">
            <v>m2</v>
          </cell>
          <cell r="E198">
            <v>125</v>
          </cell>
          <cell r="F198" t="str">
            <v>單價分析</v>
          </cell>
        </row>
        <row r="199">
          <cell r="A199" t="str">
            <v>b25</v>
          </cell>
          <cell r="B199" t="str">
            <v xml:space="preserve"> 臨時施工標示牌</v>
          </cell>
          <cell r="C199"/>
          <cell r="D199" t="str">
            <v>面</v>
          </cell>
          <cell r="E199">
            <v>2300</v>
          </cell>
          <cell r="F199" t="str">
            <v>單價分析</v>
          </cell>
        </row>
        <row r="200">
          <cell r="A200" t="str">
            <v>b26</v>
          </cell>
          <cell r="B200" t="str">
            <v xml:space="preserve"> 工程標示牌(厚3mm)</v>
          </cell>
          <cell r="C200"/>
          <cell r="D200" t="str">
            <v>面</v>
          </cell>
          <cell r="E200">
            <v>10005</v>
          </cell>
          <cell r="F200" t="str">
            <v>單價分析</v>
          </cell>
        </row>
        <row r="201">
          <cell r="A201" t="str">
            <v>b27</v>
          </cell>
          <cell r="B201" t="str">
            <v xml:space="preserve"> 勞工安全衛生費</v>
          </cell>
          <cell r="C201"/>
          <cell r="D201" t="str">
            <v>式</v>
          </cell>
          <cell r="E201">
            <v>40000</v>
          </cell>
          <cell r="F201" t="str">
            <v>單價分析</v>
          </cell>
        </row>
        <row r="202">
          <cell r="A202" t="str">
            <v>b28</v>
          </cell>
          <cell r="B202" t="str">
            <v xml:space="preserve"> φ2"PVC洩水管施設費</v>
          </cell>
          <cell r="C202"/>
          <cell r="D202" t="str">
            <v>處</v>
          </cell>
          <cell r="E202">
            <v>25</v>
          </cell>
          <cell r="F202" t="str">
            <v>單價分析</v>
          </cell>
        </row>
        <row r="203">
          <cell r="A203" t="str">
            <v>b29</v>
          </cell>
          <cell r="B203" t="str">
            <v xml:space="preserve"> 護岸伸縮縫</v>
          </cell>
          <cell r="C203"/>
          <cell r="D203" t="str">
            <v>處</v>
          </cell>
          <cell r="E203">
            <v>406.09999999999997</v>
          </cell>
          <cell r="F203" t="str">
            <v>單價分析</v>
          </cell>
        </row>
        <row r="204">
          <cell r="A204" t="str">
            <v>B31</v>
          </cell>
          <cell r="B204" t="str">
            <v>舖皂土毯</v>
          </cell>
          <cell r="D204" t="str">
            <v>m2</v>
          </cell>
          <cell r="E204">
            <v>260.89999999999998</v>
          </cell>
          <cell r="F204" t="str">
            <v>單價分析</v>
          </cell>
        </row>
        <row r="205">
          <cell r="A205" t="str">
            <v>b30</v>
          </cell>
          <cell r="B205" t="str">
            <v xml:space="preserve"> 混砌塊石(長徑30±10cm)</v>
          </cell>
          <cell r="D205" t="str">
            <v>㎡</v>
          </cell>
          <cell r="E205">
            <v>374.49</v>
          </cell>
          <cell r="F205" t="str">
            <v>單價分析</v>
          </cell>
        </row>
        <row r="206">
          <cell r="A206">
            <v>0</v>
          </cell>
          <cell r="B206">
            <v>0</v>
          </cell>
          <cell r="C206"/>
          <cell r="D206">
            <v>0</v>
          </cell>
          <cell r="E206">
            <v>0</v>
          </cell>
          <cell r="F206" t="str">
            <v>單價分析</v>
          </cell>
        </row>
        <row r="207">
          <cell r="A207">
            <v>101</v>
          </cell>
          <cell r="B207" t="str">
            <v xml:space="preserve"> 天然紋石椅</v>
          </cell>
          <cell r="C207" t="str">
            <v>L60cm,H40cm</v>
          </cell>
          <cell r="D207" t="str">
            <v>只</v>
          </cell>
          <cell r="E207">
            <v>1200</v>
          </cell>
        </row>
        <row r="208">
          <cell r="A208">
            <v>102</v>
          </cell>
          <cell r="B208" t="str">
            <v xml:space="preserve"> 天然紋石桌椅</v>
          </cell>
          <cell r="C208" t="str">
            <v>一桌五椅</v>
          </cell>
          <cell r="D208" t="str">
            <v>組</v>
          </cell>
          <cell r="E208">
            <v>24000</v>
          </cell>
        </row>
        <row r="209">
          <cell r="A209">
            <v>103</v>
          </cell>
          <cell r="B209" t="str">
            <v xml:space="preserve"> 大理石竣工標示牌</v>
          </cell>
          <cell r="C209" t="str">
            <v>60x50x2cm</v>
          </cell>
          <cell r="D209" t="str">
            <v>塊</v>
          </cell>
          <cell r="E209">
            <v>6000</v>
          </cell>
        </row>
        <row r="210">
          <cell r="A210">
            <v>104</v>
          </cell>
          <cell r="B210" t="str">
            <v xml:space="preserve"> 臨時施工告示牌</v>
          </cell>
          <cell r="D210" t="str">
            <v>塊</v>
          </cell>
          <cell r="E210">
            <v>2300</v>
          </cell>
        </row>
        <row r="211">
          <cell r="A211">
            <v>105</v>
          </cell>
          <cell r="B211" t="str">
            <v xml:space="preserve"> 鋼版加工及組立</v>
          </cell>
          <cell r="D211" t="str">
            <v>kg</v>
          </cell>
          <cell r="E211">
            <v>15</v>
          </cell>
        </row>
        <row r="212">
          <cell r="A212">
            <v>106</v>
          </cell>
          <cell r="B212" t="str">
            <v xml:space="preserve"> 鋼版、鋼筋焊接及按裝</v>
          </cell>
          <cell r="D212" t="str">
            <v>式</v>
          </cell>
          <cell r="E212">
            <v>10000</v>
          </cell>
        </row>
        <row r="213">
          <cell r="A213">
            <v>107</v>
          </cell>
          <cell r="B213" t="str">
            <v xml:space="preserve"> 鋼筋運費</v>
          </cell>
          <cell r="D213" t="str">
            <v>噸</v>
          </cell>
          <cell r="E213">
            <v>253</v>
          </cell>
        </row>
        <row r="214">
          <cell r="A214">
            <v>108</v>
          </cell>
          <cell r="B214" t="str">
            <v xml:space="preserve"> 水泥運費</v>
          </cell>
          <cell r="D214" t="str">
            <v>包</v>
          </cell>
          <cell r="E214">
            <v>11</v>
          </cell>
        </row>
        <row r="215">
          <cell r="A215">
            <v>109</v>
          </cell>
          <cell r="B215" t="str">
            <v xml:space="preserve"> 鼎形塊鐵模運費</v>
          </cell>
          <cell r="D215" t="str">
            <v>式</v>
          </cell>
          <cell r="E215">
            <v>10000</v>
          </cell>
        </row>
        <row r="216">
          <cell r="A216">
            <v>110</v>
          </cell>
          <cell r="B216" t="str">
            <v xml:space="preserve"> 模板小運搬</v>
          </cell>
          <cell r="D216" t="str">
            <v>㎡</v>
          </cell>
          <cell r="E216">
            <v>15</v>
          </cell>
        </row>
        <row r="217">
          <cell r="A217">
            <v>111</v>
          </cell>
          <cell r="B217" t="str">
            <v xml:space="preserve"> 放 樣 費</v>
          </cell>
          <cell r="D217" t="str">
            <v>式</v>
          </cell>
          <cell r="E217">
            <v>5000</v>
          </cell>
        </row>
        <row r="218">
          <cell r="A218">
            <v>112</v>
          </cell>
          <cell r="B218" t="str">
            <v xml:space="preserve"> 伸縮縫處理</v>
          </cell>
          <cell r="D218" t="str">
            <v>處</v>
          </cell>
          <cell r="E218">
            <v>100</v>
          </cell>
        </row>
        <row r="219">
          <cell r="A219">
            <v>113</v>
          </cell>
          <cell r="B219" t="str">
            <v xml:space="preserve"> 護欄白水泥漆粉飾</v>
          </cell>
          <cell r="C219" t="str">
            <v>一底二度</v>
          </cell>
          <cell r="D219" t="str">
            <v>式</v>
          </cell>
          <cell r="E219">
            <v>3000</v>
          </cell>
        </row>
        <row r="220">
          <cell r="A220">
            <v>114</v>
          </cell>
          <cell r="B220" t="str">
            <v xml:space="preserve"> 工棚及倉租費</v>
          </cell>
          <cell r="D220" t="str">
            <v>式</v>
          </cell>
          <cell r="E220">
            <v>10000</v>
          </cell>
        </row>
        <row r="221">
          <cell r="A221">
            <v>115</v>
          </cell>
          <cell r="B221" t="str">
            <v xml:space="preserve"> 施工安全設施費</v>
          </cell>
          <cell r="D221" t="str">
            <v>式</v>
          </cell>
          <cell r="E221">
            <v>3000</v>
          </cell>
        </row>
        <row r="222">
          <cell r="A222">
            <v>116</v>
          </cell>
          <cell r="B222" t="str">
            <v xml:space="preserve"> 租地及復舊費</v>
          </cell>
          <cell r="D222" t="str">
            <v>式</v>
          </cell>
          <cell r="E222">
            <v>15000</v>
          </cell>
        </row>
        <row r="223">
          <cell r="A223">
            <v>117</v>
          </cell>
          <cell r="B223" t="str">
            <v xml:space="preserve"> 排擋水費</v>
          </cell>
          <cell r="D223" t="str">
            <v>式</v>
          </cell>
          <cell r="E223">
            <v>15000</v>
          </cell>
        </row>
        <row r="224">
          <cell r="A224">
            <v>118</v>
          </cell>
          <cell r="B224" t="str">
            <v xml:space="preserve"> 板車費(施工機具搬運)</v>
          </cell>
          <cell r="D224" t="str">
            <v>式</v>
          </cell>
          <cell r="E224">
            <v>16000</v>
          </cell>
        </row>
        <row r="225">
          <cell r="A225">
            <v>119</v>
          </cell>
          <cell r="B225" t="str">
            <v xml:space="preserve"> 垃圾清理費</v>
          </cell>
          <cell r="D225" t="str">
            <v>式</v>
          </cell>
          <cell r="E225">
            <v>15000</v>
          </cell>
        </row>
        <row r="226">
          <cell r="A226">
            <v>120</v>
          </cell>
          <cell r="B226" t="str">
            <v xml:space="preserve"> 雜木砍除清理費</v>
          </cell>
          <cell r="D226" t="str">
            <v>式</v>
          </cell>
          <cell r="E226">
            <v>8000</v>
          </cell>
        </row>
        <row r="227">
          <cell r="A227">
            <v>121</v>
          </cell>
          <cell r="B227" t="str">
            <v xml:space="preserve"> 舊有混凝土打除</v>
          </cell>
          <cell r="D227" t="str">
            <v>式</v>
          </cell>
          <cell r="E227">
            <v>10000</v>
          </cell>
        </row>
        <row r="228">
          <cell r="A228">
            <v>122</v>
          </cell>
          <cell r="B228" t="str">
            <v xml:space="preserve"> 整地費(含雜木清除、夯實)</v>
          </cell>
          <cell r="D228" t="str">
            <v>式</v>
          </cell>
          <cell r="E228">
            <v>10000</v>
          </cell>
        </row>
        <row r="229">
          <cell r="A229">
            <v>123</v>
          </cell>
          <cell r="B229" t="str">
            <v>環境維護費</v>
          </cell>
          <cell r="D229" t="str">
            <v>式</v>
          </cell>
          <cell r="E229">
            <v>15000</v>
          </cell>
        </row>
        <row r="230">
          <cell r="A230">
            <v>124</v>
          </cell>
          <cell r="B230" t="str">
            <v xml:space="preserve"> 草花種植及維護</v>
          </cell>
          <cell r="D230" t="str">
            <v>式</v>
          </cell>
          <cell r="E230">
            <v>8000</v>
          </cell>
        </row>
        <row r="231">
          <cell r="A231">
            <v>125</v>
          </cell>
          <cell r="B231" t="str">
            <v xml:space="preserve"> 草花及草皮運費</v>
          </cell>
          <cell r="D231" t="str">
            <v>式</v>
          </cell>
          <cell r="E231">
            <v>10000</v>
          </cell>
        </row>
        <row r="232">
          <cell r="A232">
            <v>126</v>
          </cell>
          <cell r="B232" t="str">
            <v xml:space="preserve"> 鑽心體取樣費</v>
          </cell>
          <cell r="C232" t="str">
            <v>一組三個</v>
          </cell>
          <cell r="D232" t="str">
            <v>組</v>
          </cell>
          <cell r="E232">
            <v>4000</v>
          </cell>
        </row>
        <row r="233">
          <cell r="A233">
            <v>127</v>
          </cell>
          <cell r="B233" t="str">
            <v xml:space="preserve"> 水泥路面厚度鑽取費</v>
          </cell>
          <cell r="C233" t="str">
            <v>一組三個</v>
          </cell>
          <cell r="D233" t="str">
            <v>組</v>
          </cell>
          <cell r="E233">
            <v>2400</v>
          </cell>
        </row>
        <row r="234">
          <cell r="A234">
            <v>128</v>
          </cell>
          <cell r="B234" t="str">
            <v xml:space="preserve"> 氯離子含量檢測費</v>
          </cell>
          <cell r="D234" t="str">
            <v>式</v>
          </cell>
          <cell r="E234">
            <v>4000</v>
          </cell>
        </row>
        <row r="235">
          <cell r="A235">
            <v>131</v>
          </cell>
          <cell r="B235" t="str">
            <v xml:space="preserve"> 零星工程</v>
          </cell>
          <cell r="D235" t="str">
            <v>式</v>
          </cell>
          <cell r="E235">
            <v>3000</v>
          </cell>
        </row>
        <row r="236">
          <cell r="A236">
            <v>132</v>
          </cell>
          <cell r="B236" t="str">
            <v>舖花崗石板</v>
          </cell>
          <cell r="C236" t="str">
            <v>60x30x5cm</v>
          </cell>
          <cell r="D236" t="str">
            <v>㎡</v>
          </cell>
          <cell r="E236">
            <v>57</v>
          </cell>
        </row>
        <row r="237">
          <cell r="A237">
            <v>133</v>
          </cell>
          <cell r="B237" t="str">
            <v>舖陶磚</v>
          </cell>
          <cell r="D237" t="str">
            <v>m2</v>
          </cell>
          <cell r="E237">
            <v>200</v>
          </cell>
        </row>
        <row r="238">
          <cell r="A238">
            <v>134</v>
          </cell>
          <cell r="B238" t="str">
            <v>舖花崗石塊</v>
          </cell>
          <cell r="D238" t="str">
            <v>塊</v>
          </cell>
          <cell r="E238">
            <v>300</v>
          </cell>
        </row>
        <row r="239">
          <cell r="A239">
            <v>135</v>
          </cell>
          <cell r="B239" t="str">
            <v>A型木平台</v>
          </cell>
          <cell r="D239" t="str">
            <v>式</v>
          </cell>
          <cell r="E239">
            <v>300000</v>
          </cell>
        </row>
        <row r="240">
          <cell r="A240">
            <v>136</v>
          </cell>
          <cell r="B240" t="str">
            <v>B型木平台</v>
          </cell>
          <cell r="D240" t="str">
            <v>式</v>
          </cell>
          <cell r="E240">
            <v>70000</v>
          </cell>
        </row>
        <row r="241">
          <cell r="A241">
            <v>137</v>
          </cell>
          <cell r="B241" t="str">
            <v>A型涼亭</v>
          </cell>
          <cell r="D241" t="str">
            <v>式</v>
          </cell>
          <cell r="E241">
            <v>150000</v>
          </cell>
        </row>
        <row r="242">
          <cell r="A242">
            <v>138</v>
          </cell>
          <cell r="B242" t="str">
            <v>B型涼亭</v>
          </cell>
          <cell r="D242" t="str">
            <v>式</v>
          </cell>
          <cell r="E242">
            <v>70000</v>
          </cell>
        </row>
        <row r="243">
          <cell r="A243">
            <v>139</v>
          </cell>
          <cell r="B243" t="str">
            <v>木棧道</v>
          </cell>
          <cell r="D243" t="str">
            <v>式</v>
          </cell>
          <cell r="E243">
            <v>400000</v>
          </cell>
        </row>
        <row r="244">
          <cell r="A244">
            <v>140</v>
          </cell>
          <cell r="B244" t="str">
            <v>烏龜石雕</v>
          </cell>
          <cell r="D244" t="str">
            <v>式</v>
          </cell>
          <cell r="E244">
            <v>350000</v>
          </cell>
        </row>
        <row r="245">
          <cell r="A245">
            <v>141</v>
          </cell>
          <cell r="B245" t="str">
            <v>戲水池</v>
          </cell>
          <cell r="D245" t="str">
            <v>式</v>
          </cell>
          <cell r="E245">
            <v>300000</v>
          </cell>
        </row>
        <row r="246">
          <cell r="A246">
            <v>142</v>
          </cell>
          <cell r="B246" t="str">
            <v>整地</v>
          </cell>
          <cell r="D246" t="str">
            <v>式</v>
          </cell>
          <cell r="E246">
            <v>100000</v>
          </cell>
        </row>
        <row r="247">
          <cell r="A247">
            <v>143</v>
          </cell>
          <cell r="B247" t="str">
            <v>植草磚鋪面</v>
          </cell>
          <cell r="D247" t="str">
            <v>m2</v>
          </cell>
          <cell r="E247">
            <v>200</v>
          </cell>
        </row>
        <row r="248">
          <cell r="A248">
            <v>144</v>
          </cell>
          <cell r="B248" t="str">
            <v>青版岩鋪面</v>
          </cell>
          <cell r="D248" t="str">
            <v>m2</v>
          </cell>
          <cell r="E248">
            <v>250</v>
          </cell>
        </row>
        <row r="249">
          <cell r="A249">
            <v>145</v>
          </cell>
          <cell r="B249" t="str">
            <v>石板座椅</v>
          </cell>
          <cell r="D249" t="str">
            <v>座</v>
          </cell>
          <cell r="E249">
            <v>12000</v>
          </cell>
        </row>
        <row r="250">
          <cell r="A250">
            <v>146</v>
          </cell>
          <cell r="B250" t="str">
            <v>花台座椅</v>
          </cell>
          <cell r="D250" t="str">
            <v>座</v>
          </cell>
          <cell r="E250">
            <v>6000</v>
          </cell>
        </row>
        <row r="251">
          <cell r="A251">
            <v>147</v>
          </cell>
          <cell r="B251" t="str">
            <v>擬木欄杆</v>
          </cell>
          <cell r="D251" t="str">
            <v>m</v>
          </cell>
          <cell r="E251">
            <v>1000</v>
          </cell>
        </row>
        <row r="252">
          <cell r="A252">
            <v>148</v>
          </cell>
          <cell r="B252" t="str">
            <v>觀景亭</v>
          </cell>
          <cell r="D252" t="str">
            <v>式</v>
          </cell>
          <cell r="E252">
            <v>250000</v>
          </cell>
        </row>
        <row r="253">
          <cell r="A253">
            <v>149</v>
          </cell>
          <cell r="B253" t="str">
            <v>喬木</v>
          </cell>
          <cell r="D253" t="str">
            <v>株</v>
          </cell>
          <cell r="E253">
            <v>200</v>
          </cell>
        </row>
        <row r="254">
          <cell r="A254">
            <v>150</v>
          </cell>
          <cell r="B254" t="str">
            <v>灌木</v>
          </cell>
          <cell r="D254" t="str">
            <v>株</v>
          </cell>
          <cell r="E254">
            <v>20</v>
          </cell>
        </row>
        <row r="255">
          <cell r="A255">
            <v>151</v>
          </cell>
          <cell r="B255" t="str">
            <v>地毯草草皮</v>
          </cell>
          <cell r="D255" t="str">
            <v>m2</v>
          </cell>
          <cell r="E255">
            <v>10</v>
          </cell>
        </row>
        <row r="256">
          <cell r="A256">
            <v>129</v>
          </cell>
          <cell r="B256" t="str">
            <v xml:space="preserve"> 包商稅雜</v>
          </cell>
          <cell r="C256" t="str">
            <v>約12%</v>
          </cell>
          <cell r="D256" t="str">
            <v>式</v>
          </cell>
        </row>
        <row r="257">
          <cell r="A257">
            <v>130</v>
          </cell>
          <cell r="B257" t="str">
            <v xml:space="preserve"> 包商稅雜</v>
          </cell>
          <cell r="C257" t="str">
            <v xml:space="preserve"> </v>
          </cell>
          <cell r="D257" t="str">
            <v>式</v>
          </cell>
        </row>
        <row r="258">
          <cell r="A258">
            <v>0</v>
          </cell>
        </row>
        <row r="259">
          <cell r="A259" t="str">
            <v>m0</v>
          </cell>
          <cell r="B259" t="str">
            <v>材  料  費  選 項</v>
          </cell>
        </row>
        <row r="260">
          <cell r="A260" t="str">
            <v>m1</v>
          </cell>
          <cell r="B260" t="str">
            <v xml:space="preserve"> 水  泥</v>
          </cell>
          <cell r="C260" t="str">
            <v>50kg/包</v>
          </cell>
          <cell r="D260" t="str">
            <v>包</v>
          </cell>
          <cell r="E260">
            <v>150</v>
          </cell>
        </row>
        <row r="261">
          <cell r="A261" t="str">
            <v>m2</v>
          </cell>
          <cell r="B261" t="str">
            <v xml:space="preserve"> 預拌140kg/c㎡混凝土</v>
          </cell>
          <cell r="C261" t="str">
            <v>工地交貨</v>
          </cell>
          <cell r="D261" t="str">
            <v>m3</v>
          </cell>
          <cell r="E261">
            <v>1650</v>
          </cell>
        </row>
        <row r="262">
          <cell r="A262" t="str">
            <v>m3</v>
          </cell>
          <cell r="B262" t="str">
            <v xml:space="preserve"> 預拌175kg/c㎡混凝土</v>
          </cell>
          <cell r="C262" t="str">
            <v>工地交貨</v>
          </cell>
          <cell r="D262" t="str">
            <v>m3</v>
          </cell>
          <cell r="E262">
            <v>1700</v>
          </cell>
        </row>
        <row r="263">
          <cell r="A263" t="str">
            <v>m4</v>
          </cell>
          <cell r="B263" t="str">
            <v xml:space="preserve"> 預拌210kg/c㎡混凝土</v>
          </cell>
          <cell r="C263" t="str">
            <v>工地交貨</v>
          </cell>
          <cell r="D263" t="str">
            <v>m3</v>
          </cell>
          <cell r="E263">
            <v>1700</v>
          </cell>
        </row>
        <row r="264">
          <cell r="A264" t="str">
            <v>m5</v>
          </cell>
          <cell r="B264" t="str">
            <v xml:space="preserve"> 預拌350kg/c㎡混凝土</v>
          </cell>
          <cell r="C264" t="str">
            <v>工地交貨</v>
          </cell>
          <cell r="D264" t="str">
            <v>m3</v>
          </cell>
          <cell r="E264">
            <v>1900</v>
          </cell>
        </row>
        <row r="265">
          <cell r="A265" t="str">
            <v>m6</v>
          </cell>
          <cell r="B265" t="str">
            <v xml:space="preserve"> 鋼  筋(含無輻射證明)</v>
          </cell>
          <cell r="C265" t="str">
            <v>(含運費)</v>
          </cell>
          <cell r="D265" t="str">
            <v>噸</v>
          </cell>
          <cell r="E265">
            <v>10500</v>
          </cell>
        </row>
        <row r="266">
          <cell r="A266" t="str">
            <v>m7</v>
          </cell>
          <cell r="B266" t="str">
            <v xml:space="preserve"> 鋼  版</v>
          </cell>
          <cell r="C266" t="str">
            <v>(含運費)</v>
          </cell>
          <cell r="D266" t="str">
            <v>kg</v>
          </cell>
          <cell r="E266">
            <v>18</v>
          </cell>
        </row>
        <row r="267">
          <cell r="A267" t="str">
            <v>m8</v>
          </cell>
          <cell r="B267" t="str">
            <v xml:space="preserve"> 鋼  軌</v>
          </cell>
          <cell r="C267" t="str">
            <v>(含運費)</v>
          </cell>
          <cell r="D267" t="str">
            <v>kg</v>
          </cell>
          <cell r="E267">
            <v>22</v>
          </cell>
        </row>
        <row r="268">
          <cell r="A268" t="str">
            <v>m9</v>
          </cell>
          <cell r="B268" t="str">
            <v>φ25鋼索</v>
          </cell>
          <cell r="C268" t="str">
            <v>(含運費)</v>
          </cell>
          <cell r="D268" t="str">
            <v>kg</v>
          </cell>
          <cell r="E268">
            <v>45</v>
          </cell>
        </row>
        <row r="269">
          <cell r="A269" t="str">
            <v>m10</v>
          </cell>
          <cell r="B269" t="str">
            <v>φ25鋼索夾</v>
          </cell>
          <cell r="C269" t="str">
            <v>(含運費)</v>
          </cell>
          <cell r="D269" t="str">
            <v>個</v>
          </cell>
          <cell r="E269">
            <v>35</v>
          </cell>
        </row>
        <row r="270">
          <cell r="A270" t="str">
            <v>m11</v>
          </cell>
          <cell r="B270" t="str">
            <v>φ19mm不銹鋼條</v>
          </cell>
          <cell r="C270" t="str">
            <v>(含運費)</v>
          </cell>
          <cell r="D270" t="str">
            <v>kg</v>
          </cell>
          <cell r="E270">
            <v>120</v>
          </cell>
        </row>
        <row r="271">
          <cell r="A271" t="str">
            <v>m12</v>
          </cell>
          <cell r="B271" t="str">
            <v xml:space="preserve"> 鍍鋅鐵絲箱型石籠網</v>
          </cell>
          <cell r="C271" t="str">
            <v>(含運費)</v>
          </cell>
          <cell r="D271" t="str">
            <v>㎡</v>
          </cell>
          <cell r="E271">
            <v>190</v>
          </cell>
        </row>
        <row r="272">
          <cell r="A272" t="str">
            <v>m13</v>
          </cell>
          <cell r="B272" t="str">
            <v>φ3"PVC洩水管</v>
          </cell>
          <cell r="C272" t="str">
            <v>(含運費)</v>
          </cell>
          <cell r="D272" t="str">
            <v>支</v>
          </cell>
          <cell r="E272">
            <v>60</v>
          </cell>
        </row>
        <row r="273">
          <cell r="A273" t="str">
            <v>m14</v>
          </cell>
          <cell r="B273" t="str">
            <v>φ3"PVC洩水管</v>
          </cell>
          <cell r="C273" t="str">
            <v>(含運費)</v>
          </cell>
          <cell r="D273" t="str">
            <v>m</v>
          </cell>
          <cell r="E273">
            <v>40</v>
          </cell>
        </row>
        <row r="274">
          <cell r="A274" t="str">
            <v>m15</v>
          </cell>
          <cell r="B274" t="str">
            <v>φ30cm HP(B型)管</v>
          </cell>
          <cell r="C274" t="str">
            <v>(含運費)</v>
          </cell>
          <cell r="D274" t="str">
            <v>支</v>
          </cell>
          <cell r="E274">
            <v>1540</v>
          </cell>
        </row>
        <row r="275">
          <cell r="A275" t="str">
            <v>m16</v>
          </cell>
          <cell r="B275" t="str">
            <v>φ45cm HP(B型)管</v>
          </cell>
          <cell r="C275" t="str">
            <v>(含運費)</v>
          </cell>
          <cell r="D275" t="str">
            <v>支</v>
          </cell>
          <cell r="E275">
            <v>2200</v>
          </cell>
        </row>
        <row r="276">
          <cell r="A276" t="str">
            <v>m17</v>
          </cell>
          <cell r="B276" t="str">
            <v>φ60cm HP(B型)管</v>
          </cell>
          <cell r="C276" t="str">
            <v>(含運費)</v>
          </cell>
          <cell r="D276" t="str">
            <v>支</v>
          </cell>
          <cell r="E276">
            <v>3360</v>
          </cell>
        </row>
        <row r="277">
          <cell r="A277" t="str">
            <v>m18</v>
          </cell>
          <cell r="B277" t="str">
            <v>φ80cm HP(B型)管</v>
          </cell>
          <cell r="C277" t="str">
            <v>(含運費)</v>
          </cell>
          <cell r="D277" t="str">
            <v>支</v>
          </cell>
          <cell r="E277">
            <v>5280</v>
          </cell>
        </row>
        <row r="278">
          <cell r="A278" t="str">
            <v>m19</v>
          </cell>
          <cell r="B278" t="str">
            <v>φ100cm HP(B型)管</v>
          </cell>
          <cell r="C278" t="str">
            <v>(含運費)</v>
          </cell>
          <cell r="D278" t="str">
            <v>支</v>
          </cell>
          <cell r="E278">
            <v>7440</v>
          </cell>
        </row>
        <row r="279">
          <cell r="A279" t="str">
            <v>m20</v>
          </cell>
          <cell r="B279" t="str">
            <v>φ120cm HP(B型)管</v>
          </cell>
          <cell r="C279" t="str">
            <v>(含運費)</v>
          </cell>
          <cell r="D279" t="str">
            <v>支</v>
          </cell>
          <cell r="E279">
            <v>10080</v>
          </cell>
        </row>
        <row r="280">
          <cell r="A280" t="str">
            <v>m21</v>
          </cell>
          <cell r="B280" t="str">
            <v>φ150cm HP(B型)管</v>
          </cell>
          <cell r="C280" t="str">
            <v>(含運費)</v>
          </cell>
          <cell r="D280" t="str">
            <v>支</v>
          </cell>
          <cell r="E280">
            <v>16080</v>
          </cell>
        </row>
        <row r="281">
          <cell r="A281" t="str">
            <v>m22</v>
          </cell>
          <cell r="B281" t="str">
            <v xml:space="preserve"> 瀝青混凝土</v>
          </cell>
          <cell r="C281" t="str">
            <v>工地交貨</v>
          </cell>
          <cell r="D281" t="str">
            <v>m3</v>
          </cell>
          <cell r="E281">
            <v>3055</v>
          </cell>
        </row>
        <row r="282">
          <cell r="A282" t="str">
            <v>m23</v>
          </cell>
          <cell r="B282" t="str">
            <v>φ30cm AP管</v>
          </cell>
          <cell r="C282" t="str">
            <v>(含運費)</v>
          </cell>
          <cell r="D282" t="str">
            <v>支</v>
          </cell>
          <cell r="E282">
            <v>800</v>
          </cell>
        </row>
        <row r="283">
          <cell r="A283" t="str">
            <v>m24</v>
          </cell>
          <cell r="B283" t="str">
            <v>φ45cm AP管</v>
          </cell>
          <cell r="C283" t="str">
            <v>(含運費)</v>
          </cell>
          <cell r="D283" t="str">
            <v>支</v>
          </cell>
          <cell r="E283">
            <v>1250</v>
          </cell>
        </row>
        <row r="284">
          <cell r="A284" t="str">
            <v>m25</v>
          </cell>
          <cell r="B284" t="str">
            <v>φ60cm AP管</v>
          </cell>
          <cell r="C284" t="str">
            <v>(含運費)</v>
          </cell>
          <cell r="D284" t="str">
            <v>支</v>
          </cell>
          <cell r="E284">
            <v>2070</v>
          </cell>
        </row>
        <row r="285">
          <cell r="A285" t="str">
            <v>m26</v>
          </cell>
          <cell r="B285" t="str">
            <v>φ80cm AP管</v>
          </cell>
          <cell r="C285" t="str">
            <v>(含運費)</v>
          </cell>
          <cell r="D285" t="str">
            <v>支</v>
          </cell>
          <cell r="E285">
            <v>3430</v>
          </cell>
        </row>
        <row r="286">
          <cell r="A286" t="str">
            <v>m27</v>
          </cell>
          <cell r="B286" t="str">
            <v>φ100cm AP管</v>
          </cell>
          <cell r="C286" t="str">
            <v>(含運費)</v>
          </cell>
          <cell r="D286" t="str">
            <v>支</v>
          </cell>
          <cell r="E286">
            <v>5520</v>
          </cell>
        </row>
        <row r="287">
          <cell r="A287" t="str">
            <v>m28</v>
          </cell>
          <cell r="B287" t="str">
            <v>φ120cm AP管</v>
          </cell>
          <cell r="C287" t="str">
            <v>(含運費)</v>
          </cell>
          <cell r="D287" t="str">
            <v>支</v>
          </cell>
          <cell r="E287">
            <v>7640</v>
          </cell>
        </row>
        <row r="288">
          <cell r="A288" t="str">
            <v>m29</v>
          </cell>
          <cell r="B288" t="str">
            <v xml:space="preserve"> 片狀排水器</v>
          </cell>
          <cell r="C288" t="str">
            <v>(含運費)</v>
          </cell>
          <cell r="D288" t="str">
            <v>個</v>
          </cell>
          <cell r="E288">
            <v>125</v>
          </cell>
        </row>
        <row r="289">
          <cell r="A289" t="str">
            <v>m30</v>
          </cell>
          <cell r="B289" t="str">
            <v xml:space="preserve"> 軟式透水管</v>
          </cell>
          <cell r="C289" t="str">
            <v>(含運費)</v>
          </cell>
          <cell r="D289" t="str">
            <v>m</v>
          </cell>
          <cell r="E289">
            <v>150</v>
          </cell>
        </row>
        <row r="290">
          <cell r="A290" t="str">
            <v>m31</v>
          </cell>
          <cell r="B290" t="str">
            <v xml:space="preserve"> 鋼軌租金</v>
          </cell>
          <cell r="C290" t="str">
            <v xml:space="preserve"> </v>
          </cell>
          <cell r="D290" t="str">
            <v>支</v>
          </cell>
          <cell r="E290">
            <v>100</v>
          </cell>
        </row>
        <row r="291">
          <cell r="A291" t="str">
            <v>m32</v>
          </cell>
          <cell r="B291" t="str">
            <v xml:space="preserve"> 鋼版租金</v>
          </cell>
          <cell r="C291">
            <v>0</v>
          </cell>
          <cell r="D291" t="str">
            <v>片</v>
          </cell>
          <cell r="E291">
            <v>200</v>
          </cell>
        </row>
        <row r="292">
          <cell r="A292" t="str">
            <v>m33</v>
          </cell>
          <cell r="B292" t="str">
            <v xml:space="preserve"> 鋼 管 樁</v>
          </cell>
          <cell r="C292">
            <v>0</v>
          </cell>
          <cell r="D292" t="str">
            <v>m</v>
          </cell>
          <cell r="E292">
            <v>150</v>
          </cell>
        </row>
        <row r="293">
          <cell r="A293" t="str">
            <v>m34</v>
          </cell>
          <cell r="B293" t="str">
            <v xml:space="preserve"> 有機肥料</v>
          </cell>
          <cell r="C293">
            <v>0</v>
          </cell>
          <cell r="D293" t="str">
            <v>kg</v>
          </cell>
          <cell r="E293">
            <v>5</v>
          </cell>
        </row>
        <row r="294">
          <cell r="A294" t="str">
            <v>m35</v>
          </cell>
          <cell r="B294" t="str">
            <v xml:space="preserve"> 化學肥料</v>
          </cell>
          <cell r="C294">
            <v>0</v>
          </cell>
          <cell r="D294" t="str">
            <v>kg</v>
          </cell>
          <cell r="E294">
            <v>9.9</v>
          </cell>
        </row>
        <row r="295">
          <cell r="A295" t="str">
            <v>m36</v>
          </cell>
          <cell r="B295" t="str">
            <v xml:space="preserve"> 紅  磚</v>
          </cell>
          <cell r="C295">
            <v>0</v>
          </cell>
          <cell r="D295" t="str">
            <v>塊</v>
          </cell>
          <cell r="E295">
            <v>3</v>
          </cell>
        </row>
        <row r="296">
          <cell r="A296" t="str">
            <v>m37</v>
          </cell>
          <cell r="B296" t="str">
            <v xml:space="preserve"> 植草磚 </v>
          </cell>
          <cell r="C296">
            <v>0</v>
          </cell>
          <cell r="D296" t="str">
            <v>㎡</v>
          </cell>
          <cell r="E296">
            <v>650</v>
          </cell>
        </row>
        <row r="297">
          <cell r="A297" t="str">
            <v>m38</v>
          </cell>
          <cell r="B297" t="str">
            <v xml:space="preserve"> 鳳凰木 </v>
          </cell>
          <cell r="C297" t="str">
            <v>規格祥圖</v>
          </cell>
          <cell r="D297" t="str">
            <v>株</v>
          </cell>
          <cell r="E297">
            <v>800</v>
          </cell>
        </row>
        <row r="298">
          <cell r="A298" t="str">
            <v>m39</v>
          </cell>
          <cell r="B298" t="str">
            <v xml:space="preserve"> 小葉欖仁 </v>
          </cell>
          <cell r="C298" t="str">
            <v>規格祥圖</v>
          </cell>
          <cell r="D298" t="str">
            <v>株</v>
          </cell>
          <cell r="E298">
            <v>700</v>
          </cell>
        </row>
        <row r="299">
          <cell r="A299" t="str">
            <v>m40</v>
          </cell>
          <cell r="B299" t="str">
            <v xml:space="preserve"> 五葉松 </v>
          </cell>
          <cell r="C299" t="str">
            <v>規格祥圖</v>
          </cell>
          <cell r="D299" t="str">
            <v>株</v>
          </cell>
          <cell r="E299">
            <v>1800</v>
          </cell>
        </row>
        <row r="300">
          <cell r="A300" t="str">
            <v>m41</v>
          </cell>
          <cell r="B300" t="str">
            <v xml:space="preserve"> 茄  苳 </v>
          </cell>
          <cell r="C300" t="str">
            <v>規格祥圖</v>
          </cell>
          <cell r="D300" t="str">
            <v>株</v>
          </cell>
          <cell r="E300">
            <v>1500</v>
          </cell>
        </row>
        <row r="301">
          <cell r="A301" t="str">
            <v>m42</v>
          </cell>
          <cell r="B301" t="str">
            <v xml:space="preserve"> 桂  花 </v>
          </cell>
          <cell r="C301" t="str">
            <v>規格祥圖</v>
          </cell>
          <cell r="D301" t="str">
            <v>株</v>
          </cell>
          <cell r="E301">
            <v>300</v>
          </cell>
        </row>
        <row r="302">
          <cell r="A302" t="str">
            <v>m43</v>
          </cell>
          <cell r="B302" t="str">
            <v xml:space="preserve"> 南 天 竹 </v>
          </cell>
          <cell r="C302" t="str">
            <v>規格祥圖</v>
          </cell>
          <cell r="D302" t="str">
            <v>株</v>
          </cell>
          <cell r="E302">
            <v>500</v>
          </cell>
        </row>
        <row r="303">
          <cell r="A303" t="str">
            <v>m44</v>
          </cell>
          <cell r="B303" t="str">
            <v xml:space="preserve"> 變葉木 </v>
          </cell>
          <cell r="C303" t="str">
            <v>規格祥圖</v>
          </cell>
          <cell r="D303" t="str">
            <v>株</v>
          </cell>
          <cell r="E303">
            <v>60</v>
          </cell>
        </row>
        <row r="304">
          <cell r="A304" t="str">
            <v>m45</v>
          </cell>
          <cell r="B304" t="str">
            <v xml:space="preserve"> 大仙丹花 </v>
          </cell>
          <cell r="C304" t="str">
            <v>規格祥圖</v>
          </cell>
          <cell r="D304" t="str">
            <v>株</v>
          </cell>
          <cell r="E304">
            <v>35</v>
          </cell>
        </row>
        <row r="305">
          <cell r="A305" t="str">
            <v>m46</v>
          </cell>
          <cell r="B305" t="str">
            <v xml:space="preserve"> 春 不 老 </v>
          </cell>
          <cell r="C305" t="str">
            <v>規格祥圖</v>
          </cell>
          <cell r="D305" t="str">
            <v>株</v>
          </cell>
          <cell r="E305">
            <v>120</v>
          </cell>
        </row>
        <row r="306">
          <cell r="A306" t="str">
            <v>m47</v>
          </cell>
          <cell r="B306" t="str">
            <v xml:space="preserve"> 細葉雪茄 </v>
          </cell>
          <cell r="C306" t="str">
            <v>規格祥圖</v>
          </cell>
          <cell r="D306" t="str">
            <v>株</v>
          </cell>
          <cell r="E306">
            <v>35</v>
          </cell>
        </row>
        <row r="307">
          <cell r="A307" t="str">
            <v>m48</v>
          </cell>
          <cell r="B307" t="str">
            <v xml:space="preserve"> 非洲鳳仙 </v>
          </cell>
          <cell r="C307" t="str">
            <v>規格祥圖</v>
          </cell>
          <cell r="D307" t="str">
            <v>株</v>
          </cell>
          <cell r="E307">
            <v>12</v>
          </cell>
        </row>
        <row r="308">
          <cell r="A308" t="str">
            <v>m49</v>
          </cell>
          <cell r="B308" t="str">
            <v xml:space="preserve"> 假儉草 (草皮)</v>
          </cell>
          <cell r="C308" t="str">
            <v>規格祥圖</v>
          </cell>
          <cell r="D308" t="str">
            <v>㎡</v>
          </cell>
          <cell r="E308">
            <v>180</v>
          </cell>
        </row>
        <row r="309">
          <cell r="A309" t="str">
            <v>m50</v>
          </cell>
          <cell r="B309" t="str">
            <v xml:space="preserve"> 韓國草(草皮)</v>
          </cell>
          <cell r="C309" t="str">
            <v>規格祥圖</v>
          </cell>
          <cell r="D309" t="str">
            <v>㎡</v>
          </cell>
          <cell r="E309">
            <v>180</v>
          </cell>
        </row>
        <row r="310">
          <cell r="A310" t="str">
            <v>m51</v>
          </cell>
          <cell r="B310" t="str">
            <v xml:space="preserve"> 種  子</v>
          </cell>
          <cell r="C310">
            <v>0</v>
          </cell>
          <cell r="D310" t="str">
            <v>kg</v>
          </cell>
          <cell r="E310">
            <v>385</v>
          </cell>
        </row>
        <row r="311">
          <cell r="A311" t="str">
            <v>m52</v>
          </cell>
          <cell r="B311" t="str">
            <v xml:space="preserve"> 植 生 帶</v>
          </cell>
          <cell r="C311">
            <v>0</v>
          </cell>
          <cell r="D311" t="str">
            <v>㎡</v>
          </cell>
          <cell r="E311">
            <v>40</v>
          </cell>
        </row>
        <row r="312">
          <cell r="A312" t="str">
            <v>m53</v>
          </cell>
          <cell r="B312" t="str">
            <v xml:space="preserve"> 菱形鐵絲網</v>
          </cell>
          <cell r="C312" t="str">
            <v>#14, 50mm</v>
          </cell>
          <cell r="D312" t="str">
            <v>㎡</v>
          </cell>
          <cell r="E312">
            <v>0</v>
          </cell>
        </row>
        <row r="313">
          <cell r="A313" t="str">
            <v>m54</v>
          </cell>
          <cell r="B313" t="str">
            <v xml:space="preserve"> 雜  費</v>
          </cell>
          <cell r="C313" t="str">
            <v>約 2%</v>
          </cell>
          <cell r="D313" t="str">
            <v>式</v>
          </cell>
          <cell r="E313">
            <v>0</v>
          </cell>
        </row>
        <row r="314">
          <cell r="A314" t="str">
            <v>m56</v>
          </cell>
          <cell r="B314" t="str">
            <v>塊石</v>
          </cell>
          <cell r="D314" t="str">
            <v>m3</v>
          </cell>
          <cell r="E314">
            <v>655</v>
          </cell>
        </row>
        <row r="315">
          <cell r="A315" t="str">
            <v>m57</v>
          </cell>
          <cell r="B315" t="str">
            <v>花崗石板</v>
          </cell>
          <cell r="C315" t="str">
            <v>60x30x5cm</v>
          </cell>
          <cell r="D315" t="str">
            <v>塊</v>
          </cell>
          <cell r="E315">
            <v>220</v>
          </cell>
        </row>
        <row r="316">
          <cell r="A316" t="str">
            <v>m58</v>
          </cell>
          <cell r="B316" t="str">
            <v>舖陶磚</v>
          </cell>
          <cell r="D316" t="str">
            <v>m2</v>
          </cell>
          <cell r="E316">
            <v>800</v>
          </cell>
        </row>
        <row r="317">
          <cell r="A317" t="str">
            <v>m59</v>
          </cell>
          <cell r="B317" t="str">
            <v>舖花崗石塊</v>
          </cell>
          <cell r="D317" t="str">
            <v>塊</v>
          </cell>
          <cell r="E317">
            <v>1600</v>
          </cell>
        </row>
        <row r="318">
          <cell r="A318" t="str">
            <v>m60</v>
          </cell>
          <cell r="B318" t="str">
            <v>A型木平台</v>
          </cell>
          <cell r="D318" t="str">
            <v>式</v>
          </cell>
          <cell r="E318">
            <v>650000</v>
          </cell>
        </row>
        <row r="319">
          <cell r="A319" t="str">
            <v>m61</v>
          </cell>
          <cell r="B319" t="str">
            <v>B型木平台</v>
          </cell>
          <cell r="D319" t="str">
            <v>式</v>
          </cell>
          <cell r="E319">
            <v>150000</v>
          </cell>
        </row>
        <row r="320">
          <cell r="A320" t="str">
            <v>m62</v>
          </cell>
          <cell r="B320" t="str">
            <v>A型涼亭</v>
          </cell>
          <cell r="D320" t="str">
            <v>式</v>
          </cell>
          <cell r="E320">
            <v>280000</v>
          </cell>
        </row>
        <row r="321">
          <cell r="A321" t="str">
            <v>m63</v>
          </cell>
          <cell r="B321" t="str">
            <v>B型涼亭</v>
          </cell>
          <cell r="D321" t="str">
            <v>式</v>
          </cell>
          <cell r="E321">
            <v>120000</v>
          </cell>
        </row>
        <row r="322">
          <cell r="A322" t="str">
            <v>m64</v>
          </cell>
          <cell r="B322" t="str">
            <v>木棧道</v>
          </cell>
          <cell r="D322" t="str">
            <v>式</v>
          </cell>
          <cell r="E322">
            <v>680000</v>
          </cell>
        </row>
        <row r="323">
          <cell r="A323" t="str">
            <v>m65</v>
          </cell>
          <cell r="B323" t="str">
            <v>烏龜石雕</v>
          </cell>
          <cell r="D323" t="str">
            <v>式</v>
          </cell>
          <cell r="E323">
            <v>220000</v>
          </cell>
        </row>
        <row r="324">
          <cell r="A324" t="str">
            <v>m66</v>
          </cell>
          <cell r="B324" t="str">
            <v>戲水池</v>
          </cell>
          <cell r="D324" t="str">
            <v>式</v>
          </cell>
          <cell r="E324">
            <v>150000</v>
          </cell>
        </row>
        <row r="325">
          <cell r="A325" t="str">
            <v>m67</v>
          </cell>
          <cell r="B325" t="str">
            <v>整地</v>
          </cell>
          <cell r="D325" t="str">
            <v>式</v>
          </cell>
          <cell r="E325">
            <v>100000</v>
          </cell>
        </row>
        <row r="326">
          <cell r="A326" t="str">
            <v>m68</v>
          </cell>
          <cell r="B326" t="str">
            <v>植草磚鋪面</v>
          </cell>
          <cell r="D326" t="str">
            <v>m2</v>
          </cell>
          <cell r="E326">
            <v>400</v>
          </cell>
        </row>
        <row r="327">
          <cell r="A327" t="str">
            <v>m69</v>
          </cell>
          <cell r="B327" t="str">
            <v>青版岩鋪面</v>
          </cell>
          <cell r="D327" t="str">
            <v>m2</v>
          </cell>
          <cell r="E327">
            <v>800</v>
          </cell>
        </row>
        <row r="328">
          <cell r="A328" t="str">
            <v>m70</v>
          </cell>
          <cell r="B328" t="str">
            <v>石板座椅</v>
          </cell>
          <cell r="D328" t="str">
            <v>座</v>
          </cell>
          <cell r="E328">
            <v>10000</v>
          </cell>
        </row>
        <row r="329">
          <cell r="A329" t="str">
            <v>m71</v>
          </cell>
          <cell r="B329" t="str">
            <v>花台座椅</v>
          </cell>
          <cell r="D329" t="str">
            <v>座</v>
          </cell>
          <cell r="E329">
            <v>8000</v>
          </cell>
        </row>
        <row r="330">
          <cell r="A330" t="str">
            <v>m72</v>
          </cell>
          <cell r="B330" t="str">
            <v>擬木欄杆</v>
          </cell>
          <cell r="D330" t="str">
            <v>m</v>
          </cell>
          <cell r="E330">
            <v>4000</v>
          </cell>
        </row>
        <row r="331">
          <cell r="A331" t="str">
            <v>m73</v>
          </cell>
          <cell r="B331" t="str">
            <v>觀景亭</v>
          </cell>
          <cell r="D331" t="str">
            <v>式</v>
          </cell>
          <cell r="E331">
            <v>320000</v>
          </cell>
        </row>
        <row r="332">
          <cell r="A332" t="str">
            <v>m74</v>
          </cell>
          <cell r="B332" t="str">
            <v>喬木</v>
          </cell>
          <cell r="D332" t="str">
            <v>株</v>
          </cell>
          <cell r="E332">
            <v>800</v>
          </cell>
        </row>
        <row r="333">
          <cell r="A333" t="str">
            <v>m75</v>
          </cell>
          <cell r="B333" t="str">
            <v>灌木</v>
          </cell>
          <cell r="D333" t="str">
            <v>株</v>
          </cell>
          <cell r="E333">
            <v>60</v>
          </cell>
        </row>
        <row r="334">
          <cell r="A334" t="str">
            <v>m76</v>
          </cell>
          <cell r="B334" t="str">
            <v>地毯草草皮</v>
          </cell>
          <cell r="D334" t="str">
            <v>m2</v>
          </cell>
          <cell r="E334">
            <v>120</v>
          </cell>
        </row>
        <row r="335">
          <cell r="A335" t="str">
            <v>m55</v>
          </cell>
          <cell r="B335" t="str">
            <v xml:space="preserve"> 雜  費</v>
          </cell>
          <cell r="C335" t="str">
            <v>約 2%</v>
          </cell>
          <cell r="D335" t="str">
            <v>式</v>
          </cell>
          <cell r="E335">
            <v>0</v>
          </cell>
        </row>
        <row r="336">
          <cell r="A336" t="str">
            <v>t0</v>
          </cell>
          <cell r="B336" t="str">
            <v>標 題 文 字</v>
          </cell>
        </row>
        <row r="337">
          <cell r="A337" t="str">
            <v>t1</v>
          </cell>
          <cell r="B337" t="str">
            <v>(一)發包工作費</v>
          </cell>
        </row>
        <row r="338">
          <cell r="A338" t="str">
            <v>t2</v>
          </cell>
          <cell r="B338" t="str">
            <v>(二)發包材料費</v>
          </cell>
        </row>
        <row r="339">
          <cell r="A339" t="str">
            <v>t3</v>
          </cell>
          <cell r="B339" t="str">
            <v>【 植  生  工  程 】</v>
          </cell>
        </row>
        <row r="340">
          <cell r="A340" t="str">
            <v>t4</v>
          </cell>
          <cell r="B340" t="str">
            <v>【 水 土 保 持 工 程 】</v>
          </cell>
        </row>
        <row r="341">
          <cell r="A341" t="str">
            <v>t5</v>
          </cell>
          <cell r="B341" t="str">
            <v xml:space="preserve"> 合  計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內容"/>
      <sheetName val="施工"/>
      <sheetName val="監造"/>
      <sheetName val="契約詳細表 (2)"/>
      <sheetName val="封面"/>
      <sheetName val="工作表1"/>
      <sheetName val="工作表2"/>
      <sheetName val="工作表3"/>
      <sheetName val="工作表5"/>
    </sheetNames>
    <sheetDataSet>
      <sheetData sheetId="0" refreshError="1">
        <row r="1">
          <cell r="I1">
            <v>407</v>
          </cell>
        </row>
        <row r="2">
          <cell r="J2">
            <v>1</v>
          </cell>
          <cell r="K2">
            <v>2</v>
          </cell>
          <cell r="L2">
            <v>3</v>
          </cell>
          <cell r="M2">
            <v>3</v>
          </cell>
          <cell r="N2">
            <v>3</v>
          </cell>
          <cell r="O2">
            <v>4</v>
          </cell>
          <cell r="P2">
            <v>5</v>
          </cell>
          <cell r="Q2">
            <v>6</v>
          </cell>
          <cell r="R2">
            <v>7</v>
          </cell>
          <cell r="S2">
            <v>8</v>
          </cell>
          <cell r="T2">
            <v>8</v>
          </cell>
          <cell r="U2">
            <v>8</v>
          </cell>
          <cell r="V2">
            <v>9</v>
          </cell>
          <cell r="W2">
            <v>10</v>
          </cell>
          <cell r="X2">
            <v>11</v>
          </cell>
          <cell r="Y2">
            <v>12</v>
          </cell>
          <cell r="Z2">
            <v>13</v>
          </cell>
          <cell r="AA2">
            <v>13</v>
          </cell>
          <cell r="AB2">
            <v>13</v>
          </cell>
          <cell r="AC2">
            <v>14</v>
          </cell>
          <cell r="AD2">
            <v>15</v>
          </cell>
          <cell r="AE2">
            <v>16</v>
          </cell>
          <cell r="AF2">
            <v>17</v>
          </cell>
          <cell r="AG2">
            <v>18</v>
          </cell>
          <cell r="AH2">
            <v>18</v>
          </cell>
          <cell r="AI2">
            <v>18</v>
          </cell>
          <cell r="AJ2">
            <v>19</v>
          </cell>
          <cell r="AK2">
            <v>20</v>
          </cell>
          <cell r="AL2">
            <v>21</v>
          </cell>
          <cell r="AM2">
            <v>22</v>
          </cell>
          <cell r="AN2">
            <v>23</v>
          </cell>
          <cell r="AO2">
            <v>23</v>
          </cell>
          <cell r="AP2">
            <v>23</v>
          </cell>
          <cell r="AQ2">
            <v>24</v>
          </cell>
          <cell r="AR2">
            <v>25</v>
          </cell>
          <cell r="AS2">
            <v>26</v>
          </cell>
          <cell r="AT2">
            <v>27</v>
          </cell>
          <cell r="AU2">
            <v>28</v>
          </cell>
          <cell r="AV2">
            <v>29</v>
          </cell>
          <cell r="AW2">
            <v>30</v>
          </cell>
          <cell r="AX2">
            <v>31</v>
          </cell>
          <cell r="AY2">
            <v>32</v>
          </cell>
          <cell r="AZ2">
            <v>33</v>
          </cell>
          <cell r="BA2">
            <v>34</v>
          </cell>
          <cell r="BB2">
            <v>35</v>
          </cell>
          <cell r="BC2">
            <v>36</v>
          </cell>
          <cell r="BD2">
            <v>37</v>
          </cell>
          <cell r="BE2">
            <v>38</v>
          </cell>
          <cell r="BF2">
            <v>39</v>
          </cell>
          <cell r="BG2">
            <v>40</v>
          </cell>
          <cell r="BH2">
            <v>41</v>
          </cell>
          <cell r="BI2">
            <v>42</v>
          </cell>
          <cell r="BJ2">
            <v>43</v>
          </cell>
          <cell r="BK2">
            <v>44</v>
          </cell>
          <cell r="BL2">
            <v>45</v>
          </cell>
          <cell r="BM2">
            <v>46</v>
          </cell>
          <cell r="BN2">
            <v>47</v>
          </cell>
          <cell r="BO2">
            <v>48</v>
          </cell>
          <cell r="BP2">
            <v>49</v>
          </cell>
          <cell r="BQ2">
            <v>50</v>
          </cell>
          <cell r="BR2">
            <v>51</v>
          </cell>
          <cell r="BS2">
            <v>52</v>
          </cell>
          <cell r="BT2">
            <v>53</v>
          </cell>
          <cell r="BU2">
            <v>54</v>
          </cell>
          <cell r="BV2">
            <v>55</v>
          </cell>
          <cell r="BW2">
            <v>56</v>
          </cell>
          <cell r="BX2">
            <v>57</v>
          </cell>
          <cell r="BY2">
            <v>58</v>
          </cell>
          <cell r="BZ2">
            <v>59</v>
          </cell>
          <cell r="CA2">
            <v>60</v>
          </cell>
          <cell r="CB2">
            <v>61</v>
          </cell>
          <cell r="CC2">
            <v>62</v>
          </cell>
          <cell r="CD2">
            <v>62</v>
          </cell>
          <cell r="CE2">
            <v>62</v>
          </cell>
          <cell r="CF2">
            <v>62</v>
          </cell>
          <cell r="CG2">
            <v>63</v>
          </cell>
          <cell r="CH2">
            <v>64</v>
          </cell>
          <cell r="CI2">
            <v>65</v>
          </cell>
          <cell r="CJ2">
            <v>66</v>
          </cell>
          <cell r="CK2">
            <v>67</v>
          </cell>
          <cell r="CL2">
            <v>67</v>
          </cell>
          <cell r="CM2">
            <v>67</v>
          </cell>
          <cell r="CN2">
            <v>68</v>
          </cell>
          <cell r="CO2">
            <v>69</v>
          </cell>
          <cell r="CP2">
            <v>70</v>
          </cell>
          <cell r="CQ2">
            <v>71</v>
          </cell>
          <cell r="CR2">
            <v>72</v>
          </cell>
          <cell r="CS2">
            <v>72</v>
          </cell>
          <cell r="CT2">
            <v>72</v>
          </cell>
          <cell r="CU2">
            <v>73</v>
          </cell>
          <cell r="CV2">
            <v>74</v>
          </cell>
          <cell r="CW2">
            <v>75</v>
          </cell>
          <cell r="CX2">
            <v>76</v>
          </cell>
          <cell r="CY2">
            <v>77</v>
          </cell>
          <cell r="CZ2">
            <v>77</v>
          </cell>
          <cell r="DA2">
            <v>77</v>
          </cell>
          <cell r="DB2">
            <v>78</v>
          </cell>
          <cell r="DC2">
            <v>79</v>
          </cell>
          <cell r="DD2">
            <v>80</v>
          </cell>
          <cell r="DE2">
            <v>81</v>
          </cell>
          <cell r="DF2">
            <v>82</v>
          </cell>
          <cell r="DG2">
            <v>82</v>
          </cell>
          <cell r="DH2">
            <v>82</v>
          </cell>
          <cell r="DI2">
            <v>83</v>
          </cell>
          <cell r="DJ2">
            <v>84</v>
          </cell>
          <cell r="DK2">
            <v>85</v>
          </cell>
          <cell r="DL2">
            <v>86</v>
          </cell>
          <cell r="DM2">
            <v>87</v>
          </cell>
          <cell r="DN2">
            <v>87</v>
          </cell>
          <cell r="DO2">
            <v>87</v>
          </cell>
          <cell r="DP2">
            <v>88</v>
          </cell>
          <cell r="DQ2">
            <v>89</v>
          </cell>
          <cell r="DR2">
            <v>89</v>
          </cell>
          <cell r="DS2">
            <v>89</v>
          </cell>
          <cell r="DT2">
            <v>89</v>
          </cell>
          <cell r="DU2">
            <v>89</v>
          </cell>
          <cell r="DV2">
            <v>89</v>
          </cell>
          <cell r="DW2">
            <v>90</v>
          </cell>
          <cell r="DX2">
            <v>91</v>
          </cell>
          <cell r="DY2">
            <v>92</v>
          </cell>
          <cell r="DZ2">
            <v>93</v>
          </cell>
          <cell r="EA2">
            <v>94</v>
          </cell>
          <cell r="EB2">
            <v>95</v>
          </cell>
          <cell r="EC2">
            <v>95</v>
          </cell>
          <cell r="ED2">
            <v>96</v>
          </cell>
          <cell r="EE2">
            <v>97</v>
          </cell>
          <cell r="EF2">
            <v>98</v>
          </cell>
          <cell r="EG2">
            <v>99</v>
          </cell>
          <cell r="EH2">
            <v>100</v>
          </cell>
          <cell r="EI2">
            <v>101</v>
          </cell>
          <cell r="EJ2">
            <v>101</v>
          </cell>
          <cell r="EK2">
            <v>101</v>
          </cell>
          <cell r="EL2">
            <v>102</v>
          </cell>
          <cell r="EM2">
            <v>103</v>
          </cell>
          <cell r="EN2">
            <v>104</v>
          </cell>
          <cell r="EO2">
            <v>105</v>
          </cell>
          <cell r="EP2">
            <v>106</v>
          </cell>
          <cell r="EQ2">
            <v>107</v>
          </cell>
          <cell r="ER2">
            <v>108</v>
          </cell>
          <cell r="ES2">
            <v>109</v>
          </cell>
          <cell r="ET2">
            <v>110</v>
          </cell>
          <cell r="EU2">
            <v>111</v>
          </cell>
          <cell r="EV2">
            <v>112</v>
          </cell>
          <cell r="EW2">
            <v>112</v>
          </cell>
          <cell r="EX2">
            <v>112</v>
          </cell>
          <cell r="EY2">
            <v>113</v>
          </cell>
          <cell r="EZ2">
            <v>114</v>
          </cell>
          <cell r="FA2">
            <v>115</v>
          </cell>
          <cell r="FB2">
            <v>116</v>
          </cell>
          <cell r="FC2">
            <v>117</v>
          </cell>
          <cell r="FD2">
            <v>118</v>
          </cell>
          <cell r="FE2">
            <v>118</v>
          </cell>
          <cell r="FF2">
            <v>119</v>
          </cell>
          <cell r="FG2">
            <v>120</v>
          </cell>
          <cell r="FH2">
            <v>120</v>
          </cell>
          <cell r="FI2">
            <v>121</v>
          </cell>
          <cell r="FJ2">
            <v>122</v>
          </cell>
          <cell r="FK2">
            <v>123</v>
          </cell>
          <cell r="FL2">
            <v>123</v>
          </cell>
          <cell r="FM2">
            <v>124</v>
          </cell>
          <cell r="FN2">
            <v>125</v>
          </cell>
          <cell r="FO2">
            <v>126</v>
          </cell>
          <cell r="FP2">
            <v>127</v>
          </cell>
          <cell r="FQ2">
            <v>127</v>
          </cell>
          <cell r="FR2">
            <v>127</v>
          </cell>
          <cell r="FS2">
            <v>127</v>
          </cell>
          <cell r="FT2">
            <v>127</v>
          </cell>
          <cell r="FU2">
            <v>128</v>
          </cell>
          <cell r="FV2">
            <v>129</v>
          </cell>
          <cell r="FW2">
            <v>130</v>
          </cell>
          <cell r="FX2">
            <v>131</v>
          </cell>
          <cell r="FY2">
            <v>131</v>
          </cell>
          <cell r="FZ2">
            <v>131</v>
          </cell>
          <cell r="GA2">
            <v>132</v>
          </cell>
          <cell r="GB2">
            <v>133</v>
          </cell>
          <cell r="GC2">
            <v>134</v>
          </cell>
          <cell r="GD2">
            <v>135</v>
          </cell>
          <cell r="GE2">
            <v>136</v>
          </cell>
          <cell r="GF2">
            <v>137</v>
          </cell>
          <cell r="GG2">
            <v>138</v>
          </cell>
          <cell r="GH2">
            <v>139</v>
          </cell>
          <cell r="GI2">
            <v>140</v>
          </cell>
          <cell r="GJ2">
            <v>141</v>
          </cell>
          <cell r="GK2">
            <v>142</v>
          </cell>
          <cell r="GL2">
            <v>143</v>
          </cell>
          <cell r="GM2">
            <v>143</v>
          </cell>
          <cell r="GN2">
            <v>143</v>
          </cell>
          <cell r="GO2">
            <v>144</v>
          </cell>
          <cell r="GP2">
            <v>145</v>
          </cell>
          <cell r="GQ2">
            <v>146</v>
          </cell>
          <cell r="GR2">
            <v>147</v>
          </cell>
          <cell r="GS2">
            <v>148</v>
          </cell>
          <cell r="GT2">
            <v>148</v>
          </cell>
          <cell r="GU2">
            <v>148</v>
          </cell>
          <cell r="GV2">
            <v>149</v>
          </cell>
          <cell r="GW2">
            <v>150</v>
          </cell>
          <cell r="GX2">
            <v>151</v>
          </cell>
          <cell r="GY2">
            <v>152</v>
          </cell>
          <cell r="GZ2">
            <v>153</v>
          </cell>
          <cell r="HA2">
            <v>154</v>
          </cell>
          <cell r="HB2">
            <v>154</v>
          </cell>
          <cell r="HC2">
            <v>155</v>
          </cell>
          <cell r="HD2">
            <v>156</v>
          </cell>
          <cell r="HE2">
            <v>157</v>
          </cell>
          <cell r="HF2">
            <v>158</v>
          </cell>
          <cell r="HG2">
            <v>159</v>
          </cell>
          <cell r="HH2">
            <v>160</v>
          </cell>
          <cell r="HI2">
            <v>160</v>
          </cell>
          <cell r="HJ2">
            <v>161</v>
          </cell>
          <cell r="HK2">
            <v>162</v>
          </cell>
          <cell r="HL2">
            <v>163</v>
          </cell>
          <cell r="HM2">
            <v>164</v>
          </cell>
          <cell r="HN2">
            <v>165</v>
          </cell>
          <cell r="HO2">
            <v>165</v>
          </cell>
          <cell r="HP2">
            <v>165</v>
          </cell>
          <cell r="HQ2">
            <v>166</v>
          </cell>
          <cell r="HR2">
            <v>167</v>
          </cell>
          <cell r="HS2">
            <v>168</v>
          </cell>
          <cell r="HT2">
            <v>169</v>
          </cell>
          <cell r="HU2">
            <v>170</v>
          </cell>
          <cell r="HV2">
            <v>170</v>
          </cell>
          <cell r="HW2">
            <v>170</v>
          </cell>
          <cell r="HX2">
            <v>171</v>
          </cell>
          <cell r="HY2">
            <v>172</v>
          </cell>
          <cell r="HZ2">
            <v>173</v>
          </cell>
          <cell r="IA2">
            <v>174</v>
          </cell>
          <cell r="IB2">
            <v>175</v>
          </cell>
          <cell r="IC2">
            <v>175</v>
          </cell>
          <cell r="ID2">
            <v>175</v>
          </cell>
          <cell r="IE2">
            <v>176</v>
          </cell>
          <cell r="IF2">
            <v>177</v>
          </cell>
          <cell r="IG2">
            <v>178</v>
          </cell>
          <cell r="IH2">
            <v>179</v>
          </cell>
          <cell r="II2">
            <v>180</v>
          </cell>
          <cell r="IJ2">
            <v>180</v>
          </cell>
          <cell r="IK2">
            <v>180</v>
          </cell>
          <cell r="IL2">
            <v>180</v>
          </cell>
          <cell r="IM2">
            <v>181</v>
          </cell>
          <cell r="IN2">
            <v>182</v>
          </cell>
          <cell r="IO2">
            <v>183</v>
          </cell>
          <cell r="IP2">
            <v>184</v>
          </cell>
          <cell r="IQ2">
            <v>184</v>
          </cell>
          <cell r="IR2">
            <v>184</v>
          </cell>
          <cell r="IS2">
            <v>184</v>
          </cell>
          <cell r="IT2">
            <v>184</v>
          </cell>
          <cell r="IU2">
            <v>185</v>
          </cell>
          <cell r="IV2">
            <v>186</v>
          </cell>
        </row>
        <row r="3">
          <cell r="J3">
            <v>364</v>
          </cell>
          <cell r="K3">
            <v>363</v>
          </cell>
          <cell r="L3">
            <v>362</v>
          </cell>
          <cell r="M3">
            <v>362</v>
          </cell>
          <cell r="N3">
            <v>362</v>
          </cell>
          <cell r="O3">
            <v>361</v>
          </cell>
          <cell r="P3">
            <v>360</v>
          </cell>
          <cell r="Q3">
            <v>359</v>
          </cell>
          <cell r="R3">
            <v>358</v>
          </cell>
          <cell r="S3">
            <v>357</v>
          </cell>
          <cell r="T3">
            <v>357</v>
          </cell>
          <cell r="U3">
            <v>357</v>
          </cell>
          <cell r="V3">
            <v>356</v>
          </cell>
          <cell r="W3">
            <v>355</v>
          </cell>
          <cell r="X3">
            <v>354</v>
          </cell>
          <cell r="Y3">
            <v>353</v>
          </cell>
          <cell r="Z3">
            <v>352</v>
          </cell>
          <cell r="AA3">
            <v>352</v>
          </cell>
          <cell r="AB3">
            <v>352</v>
          </cell>
          <cell r="AC3">
            <v>351</v>
          </cell>
          <cell r="AD3">
            <v>350</v>
          </cell>
          <cell r="AE3">
            <v>349</v>
          </cell>
          <cell r="AF3">
            <v>348</v>
          </cell>
          <cell r="AG3">
            <v>347</v>
          </cell>
          <cell r="AH3">
            <v>347</v>
          </cell>
          <cell r="AI3">
            <v>347</v>
          </cell>
          <cell r="AJ3">
            <v>346</v>
          </cell>
          <cell r="AK3">
            <v>345</v>
          </cell>
          <cell r="AL3">
            <v>344</v>
          </cell>
          <cell r="AM3">
            <v>343</v>
          </cell>
          <cell r="AN3">
            <v>342</v>
          </cell>
          <cell r="AO3">
            <v>342</v>
          </cell>
          <cell r="AP3">
            <v>342</v>
          </cell>
          <cell r="AQ3">
            <v>341</v>
          </cell>
          <cell r="AR3">
            <v>340</v>
          </cell>
          <cell r="AS3">
            <v>339</v>
          </cell>
          <cell r="AT3">
            <v>338</v>
          </cell>
          <cell r="AU3">
            <v>337</v>
          </cell>
          <cell r="AV3">
            <v>336</v>
          </cell>
          <cell r="AW3">
            <v>335</v>
          </cell>
          <cell r="AX3">
            <v>334</v>
          </cell>
          <cell r="AY3">
            <v>333</v>
          </cell>
          <cell r="AZ3">
            <v>332</v>
          </cell>
          <cell r="BA3">
            <v>331</v>
          </cell>
          <cell r="BB3">
            <v>330</v>
          </cell>
          <cell r="BC3">
            <v>329</v>
          </cell>
          <cell r="BD3">
            <v>328</v>
          </cell>
          <cell r="BE3">
            <v>327</v>
          </cell>
          <cell r="BF3">
            <v>326</v>
          </cell>
          <cell r="BG3">
            <v>325</v>
          </cell>
          <cell r="BH3">
            <v>324</v>
          </cell>
          <cell r="BI3">
            <v>323</v>
          </cell>
          <cell r="BJ3">
            <v>322</v>
          </cell>
          <cell r="BK3">
            <v>321</v>
          </cell>
          <cell r="BL3">
            <v>320</v>
          </cell>
          <cell r="BM3">
            <v>319</v>
          </cell>
          <cell r="BN3">
            <v>318</v>
          </cell>
          <cell r="BO3">
            <v>317</v>
          </cell>
          <cell r="BP3">
            <v>316</v>
          </cell>
          <cell r="BQ3">
            <v>315</v>
          </cell>
          <cell r="BR3">
            <v>314</v>
          </cell>
          <cell r="BS3">
            <v>313</v>
          </cell>
          <cell r="BT3">
            <v>312</v>
          </cell>
          <cell r="BU3">
            <v>311</v>
          </cell>
          <cell r="BV3">
            <v>310</v>
          </cell>
          <cell r="BW3">
            <v>309</v>
          </cell>
          <cell r="BX3">
            <v>308</v>
          </cell>
          <cell r="BY3">
            <v>307</v>
          </cell>
          <cell r="BZ3">
            <v>306</v>
          </cell>
          <cell r="CA3">
            <v>305</v>
          </cell>
          <cell r="CB3">
            <v>304</v>
          </cell>
          <cell r="CC3">
            <v>303</v>
          </cell>
          <cell r="CD3">
            <v>303</v>
          </cell>
          <cell r="CE3">
            <v>303</v>
          </cell>
          <cell r="CF3">
            <v>303</v>
          </cell>
          <cell r="CG3">
            <v>302</v>
          </cell>
          <cell r="CH3">
            <v>301</v>
          </cell>
          <cell r="CI3">
            <v>300</v>
          </cell>
          <cell r="CJ3">
            <v>299</v>
          </cell>
          <cell r="CK3">
            <v>298</v>
          </cell>
          <cell r="CL3">
            <v>298</v>
          </cell>
          <cell r="CM3">
            <v>298</v>
          </cell>
          <cell r="CN3">
            <v>297</v>
          </cell>
          <cell r="CO3">
            <v>296</v>
          </cell>
          <cell r="CP3">
            <v>295</v>
          </cell>
          <cell r="CQ3">
            <v>294</v>
          </cell>
          <cell r="CR3">
            <v>293</v>
          </cell>
          <cell r="CS3">
            <v>293</v>
          </cell>
          <cell r="CT3">
            <v>293</v>
          </cell>
          <cell r="CU3">
            <v>292</v>
          </cell>
          <cell r="CV3">
            <v>291</v>
          </cell>
          <cell r="CW3">
            <v>290</v>
          </cell>
          <cell r="CX3">
            <v>289</v>
          </cell>
          <cell r="CY3">
            <v>288</v>
          </cell>
          <cell r="CZ3">
            <v>288</v>
          </cell>
          <cell r="DA3">
            <v>288</v>
          </cell>
          <cell r="DB3">
            <v>287</v>
          </cell>
          <cell r="DC3">
            <v>286</v>
          </cell>
          <cell r="DD3">
            <v>285</v>
          </cell>
          <cell r="DE3">
            <v>284</v>
          </cell>
          <cell r="DF3">
            <v>283</v>
          </cell>
          <cell r="DG3">
            <v>283</v>
          </cell>
          <cell r="DH3">
            <v>283</v>
          </cell>
          <cell r="DI3">
            <v>282</v>
          </cell>
          <cell r="DJ3">
            <v>281</v>
          </cell>
          <cell r="DK3">
            <v>280</v>
          </cell>
          <cell r="DL3">
            <v>279</v>
          </cell>
          <cell r="DM3">
            <v>278</v>
          </cell>
          <cell r="DN3">
            <v>278</v>
          </cell>
          <cell r="DO3">
            <v>278</v>
          </cell>
          <cell r="DP3">
            <v>277</v>
          </cell>
          <cell r="DQ3">
            <v>276</v>
          </cell>
          <cell r="DR3">
            <v>276</v>
          </cell>
          <cell r="DS3">
            <v>276</v>
          </cell>
          <cell r="DT3">
            <v>276</v>
          </cell>
          <cell r="DU3">
            <v>276</v>
          </cell>
          <cell r="DV3">
            <v>276</v>
          </cell>
          <cell r="DW3">
            <v>275</v>
          </cell>
          <cell r="DX3">
            <v>274</v>
          </cell>
          <cell r="DY3">
            <v>273</v>
          </cell>
          <cell r="DZ3">
            <v>272</v>
          </cell>
          <cell r="EA3">
            <v>271</v>
          </cell>
          <cell r="EB3">
            <v>270</v>
          </cell>
          <cell r="EC3">
            <v>270</v>
          </cell>
          <cell r="ED3">
            <v>269</v>
          </cell>
          <cell r="EE3">
            <v>268</v>
          </cell>
          <cell r="EF3">
            <v>267</v>
          </cell>
          <cell r="EG3">
            <v>266</v>
          </cell>
          <cell r="EH3">
            <v>265</v>
          </cell>
          <cell r="EI3">
            <v>264</v>
          </cell>
          <cell r="EJ3">
            <v>264</v>
          </cell>
          <cell r="EK3">
            <v>264</v>
          </cell>
          <cell r="EL3">
            <v>263</v>
          </cell>
          <cell r="EM3">
            <v>262</v>
          </cell>
          <cell r="EN3">
            <v>261</v>
          </cell>
          <cell r="EO3">
            <v>260</v>
          </cell>
          <cell r="EP3">
            <v>259</v>
          </cell>
          <cell r="EQ3">
            <v>258</v>
          </cell>
          <cell r="ER3">
            <v>257</v>
          </cell>
          <cell r="ES3">
            <v>256</v>
          </cell>
          <cell r="ET3">
            <v>255</v>
          </cell>
          <cell r="EU3">
            <v>254</v>
          </cell>
          <cell r="EV3">
            <v>253</v>
          </cell>
          <cell r="EW3">
            <v>253</v>
          </cell>
          <cell r="EX3">
            <v>253</v>
          </cell>
          <cell r="EY3">
            <v>252</v>
          </cell>
          <cell r="EZ3">
            <v>251</v>
          </cell>
          <cell r="FA3">
            <v>250</v>
          </cell>
          <cell r="FB3">
            <v>249</v>
          </cell>
          <cell r="FC3">
            <v>248</v>
          </cell>
          <cell r="FD3">
            <v>247</v>
          </cell>
          <cell r="FE3">
            <v>247</v>
          </cell>
          <cell r="FF3">
            <v>246</v>
          </cell>
          <cell r="FG3">
            <v>245</v>
          </cell>
          <cell r="FH3">
            <v>245</v>
          </cell>
          <cell r="FI3">
            <v>244</v>
          </cell>
          <cell r="FJ3">
            <v>243</v>
          </cell>
          <cell r="FK3">
            <v>242</v>
          </cell>
          <cell r="FL3">
            <v>242</v>
          </cell>
          <cell r="FM3">
            <v>241</v>
          </cell>
          <cell r="FN3">
            <v>240</v>
          </cell>
          <cell r="FO3">
            <v>239</v>
          </cell>
          <cell r="FP3">
            <v>238</v>
          </cell>
          <cell r="FQ3">
            <v>238</v>
          </cell>
          <cell r="FR3">
            <v>238</v>
          </cell>
          <cell r="FS3">
            <v>238</v>
          </cell>
          <cell r="FT3">
            <v>238</v>
          </cell>
          <cell r="FU3">
            <v>237</v>
          </cell>
          <cell r="FV3">
            <v>236</v>
          </cell>
          <cell r="FW3">
            <v>235</v>
          </cell>
          <cell r="FX3">
            <v>234</v>
          </cell>
          <cell r="FY3">
            <v>234</v>
          </cell>
          <cell r="FZ3">
            <v>234</v>
          </cell>
          <cell r="GA3">
            <v>233</v>
          </cell>
          <cell r="GB3">
            <v>232</v>
          </cell>
          <cell r="GC3">
            <v>231</v>
          </cell>
          <cell r="GD3">
            <v>230</v>
          </cell>
          <cell r="GE3">
            <v>229</v>
          </cell>
          <cell r="GF3">
            <v>228</v>
          </cell>
          <cell r="GG3">
            <v>227</v>
          </cell>
          <cell r="GH3">
            <v>226</v>
          </cell>
          <cell r="GI3">
            <v>225</v>
          </cell>
          <cell r="GJ3">
            <v>224</v>
          </cell>
          <cell r="GK3">
            <v>223</v>
          </cell>
          <cell r="GL3">
            <v>222</v>
          </cell>
          <cell r="GM3">
            <v>222</v>
          </cell>
          <cell r="GN3">
            <v>222</v>
          </cell>
          <cell r="GO3">
            <v>221</v>
          </cell>
          <cell r="GP3">
            <v>220</v>
          </cell>
          <cell r="GQ3">
            <v>219</v>
          </cell>
          <cell r="GR3">
            <v>218</v>
          </cell>
          <cell r="GS3">
            <v>217</v>
          </cell>
          <cell r="GT3">
            <v>217</v>
          </cell>
          <cell r="GU3">
            <v>217</v>
          </cell>
          <cell r="GV3">
            <v>216</v>
          </cell>
          <cell r="GW3">
            <v>215</v>
          </cell>
          <cell r="GX3">
            <v>214</v>
          </cell>
          <cell r="GY3">
            <v>213</v>
          </cell>
          <cell r="GZ3">
            <v>212</v>
          </cell>
          <cell r="HA3">
            <v>211</v>
          </cell>
          <cell r="HB3">
            <v>211</v>
          </cell>
          <cell r="HC3">
            <v>210</v>
          </cell>
          <cell r="HD3">
            <v>209</v>
          </cell>
          <cell r="HE3">
            <v>208</v>
          </cell>
          <cell r="HF3">
            <v>207</v>
          </cell>
          <cell r="HG3">
            <v>206</v>
          </cell>
          <cell r="HH3">
            <v>205</v>
          </cell>
          <cell r="HI3">
            <v>205</v>
          </cell>
          <cell r="HJ3">
            <v>204</v>
          </cell>
          <cell r="HK3">
            <v>203</v>
          </cell>
          <cell r="HL3">
            <v>202</v>
          </cell>
          <cell r="HM3">
            <v>201</v>
          </cell>
          <cell r="HN3">
            <v>200</v>
          </cell>
          <cell r="HO3">
            <v>200</v>
          </cell>
          <cell r="HP3">
            <v>200</v>
          </cell>
          <cell r="HQ3">
            <v>199</v>
          </cell>
          <cell r="HR3">
            <v>198</v>
          </cell>
          <cell r="HS3">
            <v>197</v>
          </cell>
          <cell r="HT3">
            <v>196</v>
          </cell>
          <cell r="HU3">
            <v>195</v>
          </cell>
          <cell r="HV3">
            <v>195</v>
          </cell>
          <cell r="HW3">
            <v>195</v>
          </cell>
          <cell r="HX3">
            <v>194</v>
          </cell>
          <cell r="HY3">
            <v>193</v>
          </cell>
          <cell r="HZ3">
            <v>192</v>
          </cell>
          <cell r="IA3">
            <v>191</v>
          </cell>
          <cell r="IB3">
            <v>190</v>
          </cell>
          <cell r="IC3">
            <v>190</v>
          </cell>
          <cell r="ID3">
            <v>190</v>
          </cell>
          <cell r="IE3">
            <v>189</v>
          </cell>
          <cell r="IF3">
            <v>188</v>
          </cell>
          <cell r="IG3">
            <v>187</v>
          </cell>
          <cell r="IH3">
            <v>186</v>
          </cell>
          <cell r="II3">
            <v>185</v>
          </cell>
          <cell r="IJ3">
            <v>185</v>
          </cell>
          <cell r="IK3">
            <v>185</v>
          </cell>
          <cell r="IL3">
            <v>185</v>
          </cell>
          <cell r="IM3">
            <v>184</v>
          </cell>
          <cell r="IN3">
            <v>183</v>
          </cell>
          <cell r="IO3">
            <v>182</v>
          </cell>
          <cell r="IP3">
            <v>181</v>
          </cell>
          <cell r="IQ3">
            <v>181</v>
          </cell>
          <cell r="IR3">
            <v>181</v>
          </cell>
          <cell r="IS3">
            <v>181</v>
          </cell>
          <cell r="IT3">
            <v>181</v>
          </cell>
          <cell r="IU3">
            <v>180</v>
          </cell>
          <cell r="IV3">
            <v>179</v>
          </cell>
        </row>
        <row r="4">
          <cell r="J4">
            <v>1.61</v>
          </cell>
          <cell r="K4">
            <v>0.13</v>
          </cell>
          <cell r="L4">
            <v>0.03</v>
          </cell>
          <cell r="M4">
            <v>0</v>
          </cell>
          <cell r="N4">
            <v>0</v>
          </cell>
          <cell r="O4">
            <v>0.02</v>
          </cell>
          <cell r="P4">
            <v>0.08</v>
          </cell>
          <cell r="Q4">
            <v>0.03</v>
          </cell>
          <cell r="R4">
            <v>0.09</v>
          </cell>
          <cell r="S4">
            <v>0.17</v>
          </cell>
          <cell r="T4">
            <v>0</v>
          </cell>
          <cell r="U4">
            <v>0</v>
          </cell>
          <cell r="V4">
            <v>0.03</v>
          </cell>
          <cell r="W4">
            <v>0</v>
          </cell>
          <cell r="X4">
            <v>0.05</v>
          </cell>
          <cell r="Y4">
            <v>0.05</v>
          </cell>
          <cell r="Z4">
            <v>0.17</v>
          </cell>
          <cell r="AA4">
            <v>0</v>
          </cell>
          <cell r="AB4">
            <v>0</v>
          </cell>
          <cell r="AC4">
            <v>0.27</v>
          </cell>
          <cell r="AD4">
            <v>0.04</v>
          </cell>
          <cell r="AE4">
            <v>0.01</v>
          </cell>
          <cell r="AF4">
            <v>0.02</v>
          </cell>
          <cell r="AG4">
            <v>0.01</v>
          </cell>
          <cell r="AH4">
            <v>0</v>
          </cell>
          <cell r="AI4">
            <v>0</v>
          </cell>
          <cell r="AJ4">
            <v>0.06</v>
          </cell>
          <cell r="AK4">
            <v>0.06</v>
          </cell>
          <cell r="AL4">
            <v>7.0000000000000007E-2</v>
          </cell>
          <cell r="AM4">
            <v>7.0000000000000007E-2</v>
          </cell>
          <cell r="AN4">
            <v>0.52</v>
          </cell>
          <cell r="AO4">
            <v>0</v>
          </cell>
          <cell r="AP4">
            <v>0</v>
          </cell>
          <cell r="AQ4">
            <v>0.65</v>
          </cell>
          <cell r="AR4">
            <v>0</v>
          </cell>
          <cell r="AS4">
            <v>7.0000000000000007E-2</v>
          </cell>
          <cell r="AT4">
            <v>0.15</v>
          </cell>
          <cell r="AU4">
            <v>0.28999999999999998</v>
          </cell>
          <cell r="AV4">
            <v>0.01</v>
          </cell>
          <cell r="AW4">
            <v>0</v>
          </cell>
          <cell r="AX4">
            <v>0.05</v>
          </cell>
          <cell r="AY4">
            <v>0.02</v>
          </cell>
          <cell r="AZ4">
            <v>0.32</v>
          </cell>
          <cell r="BA4">
            <v>0.41000000000000003</v>
          </cell>
          <cell r="BB4">
            <v>0.91</v>
          </cell>
          <cell r="BC4">
            <v>0.31</v>
          </cell>
          <cell r="BD4">
            <v>0.01</v>
          </cell>
          <cell r="BE4">
            <v>0.39</v>
          </cell>
          <cell r="BF4">
            <v>0.22</v>
          </cell>
          <cell r="BG4">
            <v>0.08</v>
          </cell>
          <cell r="BH4">
            <v>0.21</v>
          </cell>
          <cell r="BI4">
            <v>0.01</v>
          </cell>
          <cell r="BJ4">
            <v>0.08</v>
          </cell>
          <cell r="BK4">
            <v>0.01</v>
          </cell>
          <cell r="BL4">
            <v>0.09</v>
          </cell>
          <cell r="BM4">
            <v>0.01</v>
          </cell>
          <cell r="BN4">
            <v>0.01</v>
          </cell>
          <cell r="BO4">
            <v>0.3</v>
          </cell>
          <cell r="BP4">
            <v>0.64</v>
          </cell>
          <cell r="BQ4">
            <v>0</v>
          </cell>
          <cell r="BR4">
            <v>0.22</v>
          </cell>
          <cell r="BS4">
            <v>0.31</v>
          </cell>
          <cell r="BT4">
            <v>0.01</v>
          </cell>
          <cell r="BU4">
            <v>0.18</v>
          </cell>
          <cell r="BV4">
            <v>0.16</v>
          </cell>
          <cell r="BW4">
            <v>0</v>
          </cell>
          <cell r="BX4">
            <v>0.28999999999999998</v>
          </cell>
          <cell r="BY4">
            <v>0.28999999999999998</v>
          </cell>
          <cell r="BZ4">
            <v>0.91</v>
          </cell>
          <cell r="CA4">
            <v>0</v>
          </cell>
          <cell r="CB4">
            <v>7.0000000000000007E-2</v>
          </cell>
          <cell r="CC4">
            <v>0.06</v>
          </cell>
          <cell r="CD4">
            <v>0</v>
          </cell>
          <cell r="CE4">
            <v>0</v>
          </cell>
          <cell r="CF4">
            <v>0</v>
          </cell>
          <cell r="CG4">
            <v>0.31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0.36</v>
          </cell>
          <cell r="CS4">
            <v>0</v>
          </cell>
          <cell r="CT4">
            <v>0</v>
          </cell>
          <cell r="CU4">
            <v>0.2</v>
          </cell>
          <cell r="CV4">
            <v>0</v>
          </cell>
          <cell r="CW4">
            <v>0</v>
          </cell>
          <cell r="CX4">
            <v>0.53</v>
          </cell>
          <cell r="CY4">
            <v>0.01</v>
          </cell>
          <cell r="CZ4">
            <v>0</v>
          </cell>
          <cell r="DA4">
            <v>0</v>
          </cell>
          <cell r="DB4">
            <v>0.55000000000000004</v>
          </cell>
          <cell r="DC4">
            <v>0.1</v>
          </cell>
          <cell r="DD4">
            <v>0.1</v>
          </cell>
          <cell r="DE4">
            <v>0.39</v>
          </cell>
          <cell r="DF4">
            <v>0.3</v>
          </cell>
          <cell r="DG4">
            <v>0</v>
          </cell>
          <cell r="DH4">
            <v>0</v>
          </cell>
          <cell r="DI4">
            <v>0.91</v>
          </cell>
          <cell r="DJ4">
            <v>0.23</v>
          </cell>
          <cell r="DK4">
            <v>0.24</v>
          </cell>
          <cell r="DL4">
            <v>0.28999999999999998</v>
          </cell>
          <cell r="DM4">
            <v>0.2</v>
          </cell>
          <cell r="DN4">
            <v>0</v>
          </cell>
          <cell r="DO4">
            <v>0</v>
          </cell>
          <cell r="DP4">
            <v>0.35</v>
          </cell>
          <cell r="DQ4">
            <v>0.37</v>
          </cell>
          <cell r="DR4">
            <v>0</v>
          </cell>
          <cell r="DS4">
            <v>0</v>
          </cell>
          <cell r="DT4">
            <v>0</v>
          </cell>
          <cell r="DU4">
            <v>0</v>
          </cell>
          <cell r="DV4">
            <v>0</v>
          </cell>
          <cell r="DW4">
            <v>0</v>
          </cell>
          <cell r="DX4">
            <v>0</v>
          </cell>
          <cell r="DY4">
            <v>0</v>
          </cell>
          <cell r="DZ4">
            <v>0.15</v>
          </cell>
          <cell r="EA4">
            <v>0.25</v>
          </cell>
          <cell r="EB4">
            <v>0.35</v>
          </cell>
          <cell r="EC4">
            <v>0</v>
          </cell>
          <cell r="ED4">
            <v>0.11</v>
          </cell>
          <cell r="EE4">
            <v>0.1</v>
          </cell>
          <cell r="EF4">
            <v>0.46</v>
          </cell>
          <cell r="EG4">
            <v>0.26</v>
          </cell>
          <cell r="EH4">
            <v>0.54</v>
          </cell>
          <cell r="EI4">
            <v>0.5</v>
          </cell>
          <cell r="EJ4">
            <v>0.01</v>
          </cell>
          <cell r="EK4">
            <v>0.01</v>
          </cell>
          <cell r="EL4">
            <v>0.16</v>
          </cell>
          <cell r="EM4">
            <v>0.01</v>
          </cell>
          <cell r="EN4">
            <v>0.01</v>
          </cell>
          <cell r="EO4">
            <v>0.01</v>
          </cell>
          <cell r="EP4">
            <v>0.2</v>
          </cell>
          <cell r="EQ4">
            <v>0.16</v>
          </cell>
          <cell r="ER4">
            <v>0.37</v>
          </cell>
          <cell r="ES4">
            <v>1.46</v>
          </cell>
          <cell r="ET4">
            <v>0.14000000000000001</v>
          </cell>
          <cell r="EU4">
            <v>6.0000000000000005E-2</v>
          </cell>
          <cell r="EV4">
            <v>0.05</v>
          </cell>
          <cell r="EW4">
            <v>0.01</v>
          </cell>
          <cell r="EX4">
            <v>0</v>
          </cell>
          <cell r="EY4">
            <v>0.38</v>
          </cell>
          <cell r="EZ4">
            <v>0.28000000000000003</v>
          </cell>
          <cell r="FA4">
            <v>0.39</v>
          </cell>
          <cell r="FB4">
            <v>0.52</v>
          </cell>
          <cell r="FC4">
            <v>0.39</v>
          </cell>
          <cell r="FD4">
            <v>0.03</v>
          </cell>
          <cell r="FE4">
            <v>0</v>
          </cell>
          <cell r="FF4">
            <v>0.04</v>
          </cell>
          <cell r="FG4">
            <v>2.8600000000000003</v>
          </cell>
          <cell r="FH4">
            <v>0.01</v>
          </cell>
          <cell r="FI4">
            <v>1.27</v>
          </cell>
          <cell r="FJ4">
            <v>0.7</v>
          </cell>
          <cell r="FK4">
            <v>0.7</v>
          </cell>
          <cell r="FL4">
            <v>0</v>
          </cell>
          <cell r="FM4">
            <v>0.91</v>
          </cell>
          <cell r="FN4">
            <v>0.54</v>
          </cell>
          <cell r="FO4">
            <v>0.01</v>
          </cell>
          <cell r="FP4">
            <v>0.01</v>
          </cell>
          <cell r="FQ4">
            <v>0.01</v>
          </cell>
          <cell r="FR4">
            <v>0.01</v>
          </cell>
          <cell r="FS4">
            <v>0</v>
          </cell>
          <cell r="FT4">
            <v>0</v>
          </cell>
          <cell r="FU4">
            <v>0.87</v>
          </cell>
          <cell r="FV4">
            <v>0.31</v>
          </cell>
          <cell r="FW4">
            <v>0.54</v>
          </cell>
          <cell r="FX4">
            <v>0.51</v>
          </cell>
          <cell r="FY4">
            <v>0.01</v>
          </cell>
          <cell r="FZ4">
            <v>0</v>
          </cell>
          <cell r="GA4">
            <v>1.57</v>
          </cell>
          <cell r="GB4">
            <v>0.36</v>
          </cell>
          <cell r="GC4">
            <v>0.18</v>
          </cell>
          <cell r="GD4">
            <v>1.18</v>
          </cell>
          <cell r="GE4">
            <v>0.01</v>
          </cell>
          <cell r="GF4">
            <v>0.78</v>
          </cell>
          <cell r="GG4">
            <v>0</v>
          </cell>
          <cell r="GH4">
            <v>0.55000000000000004</v>
          </cell>
          <cell r="GI4">
            <v>0.36</v>
          </cell>
          <cell r="GJ4">
            <v>0.18</v>
          </cell>
          <cell r="GK4">
            <v>0.19</v>
          </cell>
          <cell r="GL4">
            <v>0.03</v>
          </cell>
          <cell r="GM4">
            <v>0</v>
          </cell>
          <cell r="GN4">
            <v>0</v>
          </cell>
          <cell r="GO4">
            <v>0.93</v>
          </cell>
          <cell r="GP4">
            <v>0.46</v>
          </cell>
          <cell r="GQ4">
            <v>0.61</v>
          </cell>
          <cell r="GR4">
            <v>0.43</v>
          </cell>
          <cell r="GS4">
            <v>0.87</v>
          </cell>
          <cell r="GT4">
            <v>0.01</v>
          </cell>
          <cell r="GU4">
            <v>0</v>
          </cell>
          <cell r="GV4">
            <v>0.33</v>
          </cell>
          <cell r="GW4">
            <v>0.2</v>
          </cell>
          <cell r="GX4">
            <v>0.05</v>
          </cell>
          <cell r="GY4">
            <v>0.84</v>
          </cell>
          <cell r="GZ4">
            <v>0.53</v>
          </cell>
          <cell r="HA4">
            <v>0.18</v>
          </cell>
          <cell r="HB4">
            <v>0</v>
          </cell>
          <cell r="HC4">
            <v>0.53</v>
          </cell>
          <cell r="HD4">
            <v>0.18</v>
          </cell>
          <cell r="HE4">
            <v>1.25</v>
          </cell>
          <cell r="HF4">
            <v>0.41</v>
          </cell>
          <cell r="HG4">
            <v>0.41</v>
          </cell>
          <cell r="HH4">
            <v>0.18</v>
          </cell>
          <cell r="HI4">
            <v>0</v>
          </cell>
          <cell r="HJ4">
            <v>0.01</v>
          </cell>
          <cell r="HK4">
            <v>1.51</v>
          </cell>
          <cell r="HL4">
            <v>0.87</v>
          </cell>
          <cell r="HM4">
            <v>2</v>
          </cell>
          <cell r="HN4">
            <v>0.64</v>
          </cell>
          <cell r="HO4">
            <v>0.01</v>
          </cell>
          <cell r="HP4">
            <v>0</v>
          </cell>
          <cell r="HQ4">
            <v>0.01</v>
          </cell>
          <cell r="HR4">
            <v>0.84</v>
          </cell>
          <cell r="HS4">
            <v>1.02</v>
          </cell>
          <cell r="HT4">
            <v>0.01</v>
          </cell>
          <cell r="HU4">
            <v>0.84</v>
          </cell>
          <cell r="HV4">
            <v>0.01</v>
          </cell>
          <cell r="HW4">
            <v>0</v>
          </cell>
          <cell r="HX4">
            <v>0.01</v>
          </cell>
          <cell r="HY4">
            <v>0.2</v>
          </cell>
          <cell r="HZ4">
            <v>0.01</v>
          </cell>
          <cell r="IA4">
            <v>0.18</v>
          </cell>
          <cell r="IB4">
            <v>0.18</v>
          </cell>
          <cell r="IC4">
            <v>0.01</v>
          </cell>
          <cell r="ID4">
            <v>0</v>
          </cell>
          <cell r="IE4">
            <v>7.0000000000000007E-2</v>
          </cell>
          <cell r="IF4">
            <v>7.0000000000000007E-2</v>
          </cell>
          <cell r="IG4">
            <v>0.01</v>
          </cell>
          <cell r="IH4">
            <v>0.06</v>
          </cell>
          <cell r="II4">
            <v>0.91</v>
          </cell>
          <cell r="IJ4">
            <v>0</v>
          </cell>
          <cell r="IK4">
            <v>0</v>
          </cell>
          <cell r="IL4">
            <v>0</v>
          </cell>
          <cell r="IM4">
            <v>1.45</v>
          </cell>
          <cell r="IN4">
            <v>1.01</v>
          </cell>
          <cell r="IO4">
            <v>0.18</v>
          </cell>
          <cell r="IP4">
            <v>0.02</v>
          </cell>
          <cell r="IQ4">
            <v>0.01</v>
          </cell>
          <cell r="IR4">
            <v>0</v>
          </cell>
          <cell r="IS4">
            <v>0.01</v>
          </cell>
          <cell r="IT4">
            <v>0.01</v>
          </cell>
          <cell r="IU4">
            <v>0.02</v>
          </cell>
          <cell r="IV4">
            <v>0.02</v>
          </cell>
        </row>
        <row r="5">
          <cell r="J5">
            <v>1.61</v>
          </cell>
          <cell r="K5">
            <v>1.7400000000000002</v>
          </cell>
          <cell r="L5">
            <v>1.7700000000000002</v>
          </cell>
          <cell r="M5">
            <v>1.7700000000000002</v>
          </cell>
          <cell r="N5">
            <v>1.7700000000000002</v>
          </cell>
          <cell r="O5">
            <v>1.7900000000000003</v>
          </cell>
          <cell r="P5">
            <v>1.8700000000000003</v>
          </cell>
          <cell r="Q5">
            <v>1.9000000000000004</v>
          </cell>
          <cell r="R5">
            <v>1.9900000000000004</v>
          </cell>
          <cell r="S5">
            <v>2.1600000000000006</v>
          </cell>
          <cell r="T5">
            <v>2.1600000000000006</v>
          </cell>
          <cell r="U5">
            <v>2.1600000000000006</v>
          </cell>
          <cell r="V5">
            <v>2.1900000000000004</v>
          </cell>
          <cell r="W5">
            <v>2.1900000000000004</v>
          </cell>
          <cell r="X5">
            <v>2.2400000000000002</v>
          </cell>
          <cell r="Y5">
            <v>2.29</v>
          </cell>
          <cell r="Z5">
            <v>2.46</v>
          </cell>
          <cell r="AA5">
            <v>2.46</v>
          </cell>
          <cell r="AB5">
            <v>2.46</v>
          </cell>
          <cell r="AC5">
            <v>2.73</v>
          </cell>
          <cell r="AD5">
            <v>2.77</v>
          </cell>
          <cell r="AE5">
            <v>2.78</v>
          </cell>
          <cell r="AF5">
            <v>2.8</v>
          </cell>
          <cell r="AG5">
            <v>2.8099999999999996</v>
          </cell>
          <cell r="AH5">
            <v>2.8099999999999996</v>
          </cell>
          <cell r="AI5">
            <v>2.8099999999999996</v>
          </cell>
          <cell r="AJ5">
            <v>2.8699999999999997</v>
          </cell>
          <cell r="AK5">
            <v>2.9299999999999997</v>
          </cell>
          <cell r="AL5">
            <v>2.9999999999999996</v>
          </cell>
          <cell r="AM5">
            <v>3.0699999999999994</v>
          </cell>
          <cell r="AN5">
            <v>3.5899999999999994</v>
          </cell>
          <cell r="AO5">
            <v>3.5899999999999994</v>
          </cell>
          <cell r="AP5">
            <v>3.5899999999999994</v>
          </cell>
          <cell r="AQ5">
            <v>4.2399999999999993</v>
          </cell>
          <cell r="AR5">
            <v>4.2399999999999993</v>
          </cell>
          <cell r="AS5">
            <v>4.3099999999999996</v>
          </cell>
          <cell r="AT5">
            <v>4.46</v>
          </cell>
          <cell r="AU5">
            <v>4.75</v>
          </cell>
          <cell r="AV5">
            <v>4.76</v>
          </cell>
          <cell r="AW5">
            <v>4.76</v>
          </cell>
          <cell r="AX5">
            <v>4.8099999999999996</v>
          </cell>
          <cell r="AY5">
            <v>4.8299999999999992</v>
          </cell>
          <cell r="AZ5">
            <v>5.1499999999999995</v>
          </cell>
          <cell r="BA5">
            <v>5.56</v>
          </cell>
          <cell r="BB5">
            <v>6.47</v>
          </cell>
          <cell r="BC5">
            <v>6.7799999999999994</v>
          </cell>
          <cell r="BD5">
            <v>6.7899999999999991</v>
          </cell>
          <cell r="BE5">
            <v>7.1799999999999988</v>
          </cell>
          <cell r="BF5">
            <v>7.3999999999999986</v>
          </cell>
          <cell r="BG5">
            <v>7.4799999999999986</v>
          </cell>
          <cell r="BH5">
            <v>7.6899999999999986</v>
          </cell>
          <cell r="BI5">
            <v>7.6999999999999984</v>
          </cell>
          <cell r="BJ5">
            <v>7.7799999999999985</v>
          </cell>
          <cell r="BK5">
            <v>7.7899999999999983</v>
          </cell>
          <cell r="BL5">
            <v>7.8799999999999981</v>
          </cell>
          <cell r="BM5">
            <v>7.8899999999999979</v>
          </cell>
          <cell r="BN5">
            <v>7.8999999999999977</v>
          </cell>
          <cell r="BO5">
            <v>8.1999999999999975</v>
          </cell>
          <cell r="BP5">
            <v>8.8399999999999981</v>
          </cell>
          <cell r="BQ5">
            <v>8.8399999999999981</v>
          </cell>
          <cell r="BR5">
            <v>9.0599999999999987</v>
          </cell>
          <cell r="BS5">
            <v>9.3699999999999992</v>
          </cell>
          <cell r="BT5">
            <v>9.379999999999999</v>
          </cell>
          <cell r="BU5">
            <v>9.5599999999999987</v>
          </cell>
          <cell r="BV5">
            <v>9.7199999999999989</v>
          </cell>
          <cell r="BW5">
            <v>9.7199999999999989</v>
          </cell>
          <cell r="BX5">
            <v>10.009999999999998</v>
          </cell>
          <cell r="BY5">
            <v>10.299999999999997</v>
          </cell>
          <cell r="BZ5">
            <v>11.209999999999997</v>
          </cell>
          <cell r="CA5">
            <v>11.209999999999997</v>
          </cell>
          <cell r="CB5">
            <v>11.279999999999998</v>
          </cell>
          <cell r="CC5">
            <v>11.339999999999998</v>
          </cell>
          <cell r="CD5">
            <v>11.339999999999998</v>
          </cell>
          <cell r="CE5">
            <v>11.339999999999998</v>
          </cell>
          <cell r="CF5">
            <v>11.339999999999998</v>
          </cell>
          <cell r="CG5">
            <v>11.649999999999999</v>
          </cell>
          <cell r="CH5">
            <v>11.649999999999999</v>
          </cell>
          <cell r="CI5">
            <v>11.649999999999999</v>
          </cell>
          <cell r="CJ5">
            <v>11.649999999999999</v>
          </cell>
          <cell r="CK5">
            <v>11.649999999999999</v>
          </cell>
          <cell r="CL5">
            <v>11.649999999999999</v>
          </cell>
          <cell r="CM5">
            <v>11.649999999999999</v>
          </cell>
          <cell r="CN5">
            <v>11.649999999999999</v>
          </cell>
          <cell r="CO5">
            <v>11.649999999999999</v>
          </cell>
          <cell r="CP5">
            <v>11.649999999999999</v>
          </cell>
          <cell r="CQ5">
            <v>11.649999999999999</v>
          </cell>
          <cell r="CR5">
            <v>12.009999999999998</v>
          </cell>
          <cell r="CS5">
            <v>12.009999999999998</v>
          </cell>
          <cell r="CT5">
            <v>12.009999999999998</v>
          </cell>
          <cell r="CU5">
            <v>12.209999999999997</v>
          </cell>
          <cell r="CV5">
            <v>12.209999999999997</v>
          </cell>
          <cell r="CW5">
            <v>12.209999999999997</v>
          </cell>
          <cell r="CX5">
            <v>12.739999999999997</v>
          </cell>
          <cell r="CY5">
            <v>12.749999999999996</v>
          </cell>
          <cell r="CZ5">
            <v>12.749999999999996</v>
          </cell>
          <cell r="DA5">
            <v>12.749999999999996</v>
          </cell>
          <cell r="DB5">
            <v>13.299999999999997</v>
          </cell>
          <cell r="DC5">
            <v>13.399999999999997</v>
          </cell>
          <cell r="DD5">
            <v>13.499999999999996</v>
          </cell>
          <cell r="DE5">
            <v>13.889999999999997</v>
          </cell>
          <cell r="DF5">
            <v>14.189999999999998</v>
          </cell>
          <cell r="DG5">
            <v>14.189999999999998</v>
          </cell>
          <cell r="DH5">
            <v>14.189999999999998</v>
          </cell>
          <cell r="DI5">
            <v>15.099999999999998</v>
          </cell>
          <cell r="DJ5">
            <v>15.329999999999998</v>
          </cell>
          <cell r="DK5">
            <v>15.569999999999999</v>
          </cell>
          <cell r="DL5">
            <v>15.859999999999998</v>
          </cell>
          <cell r="DM5">
            <v>16.059999999999999</v>
          </cell>
          <cell r="DN5">
            <v>16.059999999999999</v>
          </cell>
          <cell r="DO5">
            <v>16.059999999999999</v>
          </cell>
          <cell r="DP5">
            <v>16.41</v>
          </cell>
          <cell r="DQ5">
            <v>16.78</v>
          </cell>
          <cell r="DR5">
            <v>16.78</v>
          </cell>
          <cell r="DS5">
            <v>16.78</v>
          </cell>
          <cell r="DT5">
            <v>16.78</v>
          </cell>
          <cell r="DU5">
            <v>16.78</v>
          </cell>
          <cell r="DV5">
            <v>16.78</v>
          </cell>
          <cell r="DW5">
            <v>16.78</v>
          </cell>
          <cell r="DX5">
            <v>16.78</v>
          </cell>
          <cell r="DY5">
            <v>16.78</v>
          </cell>
          <cell r="DZ5">
            <v>16.93</v>
          </cell>
          <cell r="EA5">
            <v>17.18</v>
          </cell>
          <cell r="EB5">
            <v>17.53</v>
          </cell>
          <cell r="EC5">
            <v>17.53</v>
          </cell>
          <cell r="ED5">
            <v>17.64</v>
          </cell>
          <cell r="EE5">
            <v>17.740000000000002</v>
          </cell>
          <cell r="EF5">
            <v>18.200000000000003</v>
          </cell>
          <cell r="EG5">
            <v>18.460000000000004</v>
          </cell>
          <cell r="EH5">
            <v>19.000000000000004</v>
          </cell>
          <cell r="EI5">
            <v>19.500000000000004</v>
          </cell>
          <cell r="EJ5">
            <v>19.510000000000005</v>
          </cell>
          <cell r="EK5">
            <v>19.520000000000007</v>
          </cell>
          <cell r="EL5">
            <v>19.680000000000007</v>
          </cell>
          <cell r="EM5">
            <v>19.690000000000008</v>
          </cell>
          <cell r="EN5">
            <v>19.70000000000001</v>
          </cell>
          <cell r="EO5">
            <v>19.710000000000012</v>
          </cell>
          <cell r="EP5">
            <v>19.910000000000011</v>
          </cell>
          <cell r="EQ5">
            <v>20.070000000000011</v>
          </cell>
          <cell r="ER5">
            <v>20.440000000000012</v>
          </cell>
          <cell r="ES5">
            <v>21.900000000000013</v>
          </cell>
          <cell r="ET5">
            <v>22.040000000000013</v>
          </cell>
          <cell r="EU5">
            <v>22.100000000000012</v>
          </cell>
          <cell r="EV5">
            <v>22.150000000000013</v>
          </cell>
          <cell r="EW5">
            <v>22.160000000000014</v>
          </cell>
          <cell r="EX5">
            <v>22.160000000000014</v>
          </cell>
          <cell r="EY5">
            <v>22.540000000000013</v>
          </cell>
          <cell r="EZ5">
            <v>22.820000000000014</v>
          </cell>
          <cell r="FA5">
            <v>23.210000000000015</v>
          </cell>
          <cell r="FB5">
            <v>23.730000000000015</v>
          </cell>
          <cell r="FC5">
            <v>24.120000000000015</v>
          </cell>
          <cell r="FD5">
            <v>24.150000000000016</v>
          </cell>
          <cell r="FE5">
            <v>24.150000000000016</v>
          </cell>
          <cell r="FF5">
            <v>24.190000000000015</v>
          </cell>
          <cell r="FG5">
            <v>27.050000000000015</v>
          </cell>
          <cell r="FH5">
            <v>27.060000000000016</v>
          </cell>
          <cell r="FI5">
            <v>28.330000000000016</v>
          </cell>
          <cell r="FJ5">
            <v>29.030000000000015</v>
          </cell>
          <cell r="FK5">
            <v>29.730000000000015</v>
          </cell>
          <cell r="FL5">
            <v>29.730000000000015</v>
          </cell>
          <cell r="FM5">
            <v>30.640000000000015</v>
          </cell>
          <cell r="FN5">
            <v>31.180000000000014</v>
          </cell>
          <cell r="FO5">
            <v>31.190000000000015</v>
          </cell>
          <cell r="FP5">
            <v>31.200000000000017</v>
          </cell>
          <cell r="FQ5">
            <v>31.210000000000019</v>
          </cell>
          <cell r="FR5">
            <v>31.22000000000002</v>
          </cell>
          <cell r="FS5">
            <v>31.22000000000002</v>
          </cell>
          <cell r="FT5">
            <v>31.22000000000002</v>
          </cell>
          <cell r="FU5">
            <v>32.090000000000018</v>
          </cell>
          <cell r="FV5">
            <v>32.40000000000002</v>
          </cell>
          <cell r="FW5">
            <v>32.94</v>
          </cell>
          <cell r="FX5">
            <v>33.449999999999996</v>
          </cell>
          <cell r="FY5">
            <v>33.459999999999994</v>
          </cell>
          <cell r="FZ5">
            <v>33.459999999999994</v>
          </cell>
          <cell r="GA5">
            <v>35.029999999999994</v>
          </cell>
          <cell r="GB5">
            <v>35.389999999999993</v>
          </cell>
          <cell r="GC5">
            <v>35.569999999999993</v>
          </cell>
          <cell r="GD5">
            <v>36.749999999999993</v>
          </cell>
          <cell r="GE5">
            <v>36.759999999999991</v>
          </cell>
          <cell r="GF5">
            <v>37.539999999999992</v>
          </cell>
          <cell r="GG5">
            <v>37.539999999999992</v>
          </cell>
          <cell r="GH5">
            <v>38.089999999999989</v>
          </cell>
          <cell r="GI5">
            <v>38.449999999999989</v>
          </cell>
          <cell r="GJ5">
            <v>38.629999999999988</v>
          </cell>
          <cell r="GK5">
            <v>38.819999999999986</v>
          </cell>
          <cell r="GL5">
            <v>38.849999999999987</v>
          </cell>
          <cell r="GM5">
            <v>38.849999999999987</v>
          </cell>
          <cell r="GN5">
            <v>38.849999999999987</v>
          </cell>
          <cell r="GO5">
            <v>39.779999999999987</v>
          </cell>
          <cell r="GP5">
            <v>40.239999999999988</v>
          </cell>
          <cell r="GQ5">
            <v>40.849999999999987</v>
          </cell>
          <cell r="GR5">
            <v>41.279999999999987</v>
          </cell>
          <cell r="GS5">
            <v>42.149999999999984</v>
          </cell>
          <cell r="GT5">
            <v>42.159999999999982</v>
          </cell>
          <cell r="GU5">
            <v>42.159999999999982</v>
          </cell>
          <cell r="GV5">
            <v>42.489999999999981</v>
          </cell>
          <cell r="GW5">
            <v>42.689999999999984</v>
          </cell>
          <cell r="GX5">
            <v>42.739999999999981</v>
          </cell>
          <cell r="GY5">
            <v>43.579999999999984</v>
          </cell>
          <cell r="GZ5">
            <v>44.109999999999985</v>
          </cell>
          <cell r="HA5">
            <v>44.289999999999985</v>
          </cell>
          <cell r="HB5">
            <v>44.289999999999985</v>
          </cell>
          <cell r="HC5">
            <v>44.819999999999986</v>
          </cell>
          <cell r="HD5">
            <v>44.999999999999986</v>
          </cell>
          <cell r="HE5">
            <v>46.249999999999986</v>
          </cell>
          <cell r="HF5">
            <v>46.659999999999982</v>
          </cell>
          <cell r="HG5">
            <v>47.069999999999979</v>
          </cell>
          <cell r="HH5">
            <v>47.249999999999979</v>
          </cell>
          <cell r="HI5">
            <v>47.249999999999979</v>
          </cell>
          <cell r="HJ5">
            <v>47.259999999999977</v>
          </cell>
          <cell r="HK5">
            <v>48.769999999999975</v>
          </cell>
          <cell r="HL5">
            <v>49.639999999999972</v>
          </cell>
          <cell r="HM5">
            <v>51.639999999999972</v>
          </cell>
          <cell r="HN5">
            <v>52.279999999999973</v>
          </cell>
          <cell r="HO5">
            <v>52.289999999999971</v>
          </cell>
          <cell r="HP5">
            <v>52.289999999999971</v>
          </cell>
          <cell r="HQ5">
            <v>52.299999999999969</v>
          </cell>
          <cell r="HR5">
            <v>53.139999999999972</v>
          </cell>
          <cell r="HS5">
            <v>54.159999999999975</v>
          </cell>
          <cell r="HT5">
            <v>54.169999999999973</v>
          </cell>
          <cell r="HU5">
            <v>55.009999999999977</v>
          </cell>
          <cell r="HV5">
            <v>55.019999999999975</v>
          </cell>
          <cell r="HW5">
            <v>55.019999999999975</v>
          </cell>
          <cell r="HX5">
            <v>55.029999999999973</v>
          </cell>
          <cell r="HY5">
            <v>55.219999999999978</v>
          </cell>
          <cell r="HZ5">
            <v>55.229999999999976</v>
          </cell>
          <cell r="IA5">
            <v>55.409999999999975</v>
          </cell>
          <cell r="IB5">
            <v>55.589999999999975</v>
          </cell>
          <cell r="IC5">
            <v>55.599999999999973</v>
          </cell>
          <cell r="ID5">
            <v>55.599999999999973</v>
          </cell>
          <cell r="IE5">
            <v>55.669999999999973</v>
          </cell>
          <cell r="IF5">
            <v>55.739999999999974</v>
          </cell>
          <cell r="IG5">
            <v>55.749999999999972</v>
          </cell>
          <cell r="IH5">
            <v>55.809999999999974</v>
          </cell>
          <cell r="II5">
            <v>56.709999999999972</v>
          </cell>
          <cell r="IJ5">
            <v>56.709999999999972</v>
          </cell>
          <cell r="IK5">
            <v>56.709999999999972</v>
          </cell>
          <cell r="IL5">
            <v>56.709999999999972</v>
          </cell>
          <cell r="IM5">
            <v>58.159999999999975</v>
          </cell>
          <cell r="IN5">
            <v>59.169999999999973</v>
          </cell>
          <cell r="IO5">
            <v>59.349999999999973</v>
          </cell>
          <cell r="IP5">
            <v>59.369999999999976</v>
          </cell>
          <cell r="IQ5">
            <v>59.379999999999974</v>
          </cell>
          <cell r="IR5">
            <v>59.379999999999974</v>
          </cell>
          <cell r="IS5">
            <v>59.389999999999972</v>
          </cell>
          <cell r="IT5">
            <v>59.39999999999997</v>
          </cell>
          <cell r="IU5">
            <v>59.419999999999973</v>
          </cell>
          <cell r="IV5">
            <v>59.439999999999976</v>
          </cell>
        </row>
        <row r="7">
          <cell r="J7">
            <v>44125</v>
          </cell>
          <cell r="K7">
            <v>44126</v>
          </cell>
          <cell r="L7">
            <v>44127</v>
          </cell>
          <cell r="M7">
            <v>44128</v>
          </cell>
          <cell r="N7">
            <v>44129</v>
          </cell>
          <cell r="O7">
            <v>44130</v>
          </cell>
          <cell r="P7">
            <v>44131</v>
          </cell>
          <cell r="Q7">
            <v>44132</v>
          </cell>
          <cell r="R7">
            <v>44133</v>
          </cell>
          <cell r="S7">
            <v>44134</v>
          </cell>
          <cell r="T7">
            <v>44135</v>
          </cell>
          <cell r="U7">
            <v>44136</v>
          </cell>
          <cell r="V7">
            <v>44137</v>
          </cell>
          <cell r="W7">
            <v>44138</v>
          </cell>
          <cell r="X7">
            <v>44139</v>
          </cell>
          <cell r="Y7">
            <v>44140</v>
          </cell>
          <cell r="Z7">
            <v>44141</v>
          </cell>
          <cell r="AA7">
            <v>44142</v>
          </cell>
          <cell r="AB7">
            <v>44143</v>
          </cell>
          <cell r="AC7">
            <v>44144</v>
          </cell>
          <cell r="AD7">
            <v>44145</v>
          </cell>
          <cell r="AE7">
            <v>44146</v>
          </cell>
          <cell r="AF7">
            <v>44147</v>
          </cell>
          <cell r="AG7">
            <v>44148</v>
          </cell>
          <cell r="AH7">
            <v>44149</v>
          </cell>
          <cell r="AI7">
            <v>44150</v>
          </cell>
          <cell r="AJ7">
            <v>44151</v>
          </cell>
          <cell r="AK7">
            <v>44152</v>
          </cell>
          <cell r="AL7">
            <v>44153</v>
          </cell>
          <cell r="AM7">
            <v>44154</v>
          </cell>
          <cell r="AN7">
            <v>44155</v>
          </cell>
          <cell r="AO7">
            <v>44156</v>
          </cell>
          <cell r="AP7">
            <v>44157</v>
          </cell>
          <cell r="AQ7">
            <v>44158</v>
          </cell>
          <cell r="AR7">
            <v>44159</v>
          </cell>
          <cell r="AS7">
            <v>44160</v>
          </cell>
          <cell r="AT7">
            <v>44161</v>
          </cell>
          <cell r="AU7">
            <v>44162</v>
          </cell>
          <cell r="AV7">
            <v>44163</v>
          </cell>
          <cell r="AW7">
            <v>44164</v>
          </cell>
          <cell r="AX7">
            <v>44165</v>
          </cell>
          <cell r="AY7">
            <v>44166</v>
          </cell>
          <cell r="AZ7">
            <v>44167</v>
          </cell>
          <cell r="BA7">
            <v>44168</v>
          </cell>
          <cell r="BB7">
            <v>44169</v>
          </cell>
          <cell r="BC7">
            <v>44170</v>
          </cell>
          <cell r="BD7">
            <v>44171</v>
          </cell>
          <cell r="BE7">
            <v>44172</v>
          </cell>
          <cell r="BF7">
            <v>44173</v>
          </cell>
          <cell r="BG7">
            <v>44174</v>
          </cell>
          <cell r="BH7">
            <v>44175</v>
          </cell>
          <cell r="BI7">
            <v>44176</v>
          </cell>
          <cell r="BJ7">
            <v>44177</v>
          </cell>
          <cell r="BK7">
            <v>44178</v>
          </cell>
          <cell r="BL7">
            <v>44179</v>
          </cell>
          <cell r="BM7">
            <v>44180</v>
          </cell>
          <cell r="BN7">
            <v>44181</v>
          </cell>
          <cell r="BO7">
            <v>44182</v>
          </cell>
          <cell r="BP7">
            <v>44183</v>
          </cell>
          <cell r="BQ7">
            <v>44184</v>
          </cell>
          <cell r="BR7">
            <v>44185</v>
          </cell>
          <cell r="BS7">
            <v>44186</v>
          </cell>
          <cell r="BT7">
            <v>44187</v>
          </cell>
          <cell r="BU7">
            <v>44188</v>
          </cell>
          <cell r="BV7">
            <v>44189</v>
          </cell>
          <cell r="BW7">
            <v>44190</v>
          </cell>
          <cell r="BX7">
            <v>44191</v>
          </cell>
          <cell r="BY7">
            <v>44192</v>
          </cell>
          <cell r="BZ7">
            <v>44193</v>
          </cell>
          <cell r="CA7">
            <v>44194</v>
          </cell>
          <cell r="CB7">
            <v>44195</v>
          </cell>
          <cell r="CC7">
            <v>44196</v>
          </cell>
          <cell r="CD7">
            <v>44197</v>
          </cell>
          <cell r="CE7">
            <v>44198</v>
          </cell>
          <cell r="CF7">
            <v>44199</v>
          </cell>
          <cell r="CG7">
            <v>44200</v>
          </cell>
          <cell r="CH7">
            <v>44201</v>
          </cell>
          <cell r="CI7">
            <v>44202</v>
          </cell>
          <cell r="CJ7">
            <v>44203</v>
          </cell>
          <cell r="CK7">
            <v>44204</v>
          </cell>
          <cell r="CL7">
            <v>44205</v>
          </cell>
          <cell r="CM7">
            <v>44206</v>
          </cell>
          <cell r="CN7">
            <v>44207</v>
          </cell>
          <cell r="CO7">
            <v>44208</v>
          </cell>
          <cell r="CP7">
            <v>44209</v>
          </cell>
          <cell r="CQ7">
            <v>44210</v>
          </cell>
          <cell r="CR7">
            <v>44211</v>
          </cell>
          <cell r="CS7">
            <v>44212</v>
          </cell>
          <cell r="CT7">
            <v>44213</v>
          </cell>
          <cell r="CU7">
            <v>44214</v>
          </cell>
          <cell r="CV7">
            <v>44215</v>
          </cell>
          <cell r="CW7">
            <v>44216</v>
          </cell>
          <cell r="CX7">
            <v>44217</v>
          </cell>
          <cell r="CY7">
            <v>44218</v>
          </cell>
          <cell r="CZ7">
            <v>44219</v>
          </cell>
          <cell r="DA7">
            <v>44220</v>
          </cell>
          <cell r="DB7">
            <v>44221</v>
          </cell>
          <cell r="DC7">
            <v>44222</v>
          </cell>
          <cell r="DD7">
            <v>44223</v>
          </cell>
          <cell r="DE7">
            <v>44224</v>
          </cell>
          <cell r="DF7">
            <v>44225</v>
          </cell>
          <cell r="DG7">
            <v>44226</v>
          </cell>
          <cell r="DH7">
            <v>44227</v>
          </cell>
          <cell r="DI7">
            <v>44228</v>
          </cell>
          <cell r="DJ7">
            <v>44229</v>
          </cell>
          <cell r="DK7">
            <v>44230</v>
          </cell>
          <cell r="DL7">
            <v>44231</v>
          </cell>
          <cell r="DM7">
            <v>44232</v>
          </cell>
          <cell r="DN7">
            <v>44233</v>
          </cell>
          <cell r="DO7">
            <v>44234</v>
          </cell>
          <cell r="DP7">
            <v>44235</v>
          </cell>
          <cell r="DQ7">
            <v>44236</v>
          </cell>
          <cell r="DR7">
            <v>44237</v>
          </cell>
          <cell r="DS7">
            <v>44238</v>
          </cell>
          <cell r="DT7">
            <v>44239</v>
          </cell>
          <cell r="DU7">
            <v>44240</v>
          </cell>
          <cell r="DV7">
            <v>44241</v>
          </cell>
          <cell r="DW7">
            <v>44242</v>
          </cell>
          <cell r="DX7">
            <v>44243</v>
          </cell>
          <cell r="DY7">
            <v>44244</v>
          </cell>
          <cell r="DZ7">
            <v>44245</v>
          </cell>
          <cell r="EA7">
            <v>44246</v>
          </cell>
          <cell r="EB7">
            <v>44247</v>
          </cell>
          <cell r="EC7">
            <v>44248</v>
          </cell>
          <cell r="ED7">
            <v>44249</v>
          </cell>
          <cell r="EE7">
            <v>44250</v>
          </cell>
          <cell r="EF7">
            <v>44251</v>
          </cell>
          <cell r="EG7">
            <v>44252</v>
          </cell>
          <cell r="EH7">
            <v>44253</v>
          </cell>
          <cell r="EI7">
            <v>44254</v>
          </cell>
          <cell r="EJ7">
            <v>44255</v>
          </cell>
          <cell r="EK7">
            <v>44256</v>
          </cell>
          <cell r="EL7">
            <v>44257</v>
          </cell>
          <cell r="EM7">
            <v>44258</v>
          </cell>
          <cell r="EN7">
            <v>44259</v>
          </cell>
          <cell r="EO7">
            <v>44260</v>
          </cell>
          <cell r="EP7">
            <v>44261</v>
          </cell>
          <cell r="EQ7">
            <v>44262</v>
          </cell>
          <cell r="ER7">
            <v>44263</v>
          </cell>
          <cell r="ES7">
            <v>44264</v>
          </cell>
          <cell r="ET7">
            <v>44265</v>
          </cell>
          <cell r="EU7">
            <v>44266</v>
          </cell>
          <cell r="EV7">
            <v>44267</v>
          </cell>
          <cell r="EW7">
            <v>44268</v>
          </cell>
          <cell r="EX7">
            <v>44269</v>
          </cell>
          <cell r="EY7">
            <v>44270</v>
          </cell>
          <cell r="EZ7">
            <v>44271</v>
          </cell>
          <cell r="FA7">
            <v>44272</v>
          </cell>
          <cell r="FB7">
            <v>44273</v>
          </cell>
          <cell r="FC7">
            <v>44274</v>
          </cell>
          <cell r="FD7">
            <v>44275</v>
          </cell>
          <cell r="FE7">
            <v>44276</v>
          </cell>
          <cell r="FF7">
            <v>44277</v>
          </cell>
          <cell r="FG7">
            <v>44278</v>
          </cell>
          <cell r="FH7">
            <v>44279</v>
          </cell>
          <cell r="FI7">
            <v>44280</v>
          </cell>
          <cell r="FJ7">
            <v>44281</v>
          </cell>
          <cell r="FK7">
            <v>44282</v>
          </cell>
          <cell r="FL7">
            <v>44283</v>
          </cell>
          <cell r="FM7">
            <v>44284</v>
          </cell>
          <cell r="FN7">
            <v>44285</v>
          </cell>
          <cell r="FO7">
            <v>44286</v>
          </cell>
          <cell r="FP7">
            <v>44287</v>
          </cell>
          <cell r="FQ7">
            <v>44288</v>
          </cell>
          <cell r="FR7">
            <v>44289</v>
          </cell>
          <cell r="FS7">
            <v>44290</v>
          </cell>
          <cell r="FT7">
            <v>44291</v>
          </cell>
          <cell r="FU7">
            <v>44292</v>
          </cell>
          <cell r="FV7">
            <v>44293</v>
          </cell>
          <cell r="FW7">
            <v>44294</v>
          </cell>
          <cell r="FX7">
            <v>44295</v>
          </cell>
          <cell r="FY7">
            <v>44296</v>
          </cell>
          <cell r="FZ7">
            <v>44297</v>
          </cell>
          <cell r="GA7">
            <v>44298</v>
          </cell>
          <cell r="GB7">
            <v>44299</v>
          </cell>
          <cell r="GC7">
            <v>44300</v>
          </cell>
          <cell r="GD7">
            <v>44301</v>
          </cell>
          <cell r="GE7">
            <v>44302</v>
          </cell>
          <cell r="GF7">
            <v>44303</v>
          </cell>
          <cell r="GG7">
            <v>44304</v>
          </cell>
          <cell r="GH7">
            <v>44305</v>
          </cell>
          <cell r="GI7">
            <v>44306</v>
          </cell>
          <cell r="GJ7">
            <v>44307</v>
          </cell>
          <cell r="GK7">
            <v>44308</v>
          </cell>
          <cell r="GL7">
            <v>44309</v>
          </cell>
          <cell r="GM7">
            <v>44310</v>
          </cell>
          <cell r="GN7">
            <v>44311</v>
          </cell>
          <cell r="GO7">
            <v>44312</v>
          </cell>
          <cell r="GP7">
            <v>44313</v>
          </cell>
          <cell r="GQ7">
            <v>44314</v>
          </cell>
          <cell r="GR7">
            <v>44315</v>
          </cell>
          <cell r="GS7">
            <v>44316</v>
          </cell>
          <cell r="GT7">
            <v>44317</v>
          </cell>
          <cell r="GU7">
            <v>44318</v>
          </cell>
          <cell r="GV7">
            <v>44319</v>
          </cell>
          <cell r="GW7">
            <v>44320</v>
          </cell>
          <cell r="GX7">
            <v>44321</v>
          </cell>
          <cell r="GY7">
            <v>44322</v>
          </cell>
          <cell r="GZ7">
            <v>44323</v>
          </cell>
          <cell r="HA7">
            <v>44324</v>
          </cell>
          <cell r="HB7">
            <v>44325</v>
          </cell>
          <cell r="HC7">
            <v>44326</v>
          </cell>
          <cell r="HD7">
            <v>44327</v>
          </cell>
          <cell r="HE7">
            <v>44328</v>
          </cell>
          <cell r="HF7">
            <v>44329</v>
          </cell>
          <cell r="HG7">
            <v>44330</v>
          </cell>
          <cell r="HH7">
            <v>44331</v>
          </cell>
          <cell r="HI7">
            <v>44332</v>
          </cell>
          <cell r="HJ7">
            <v>44333</v>
          </cell>
          <cell r="HK7">
            <v>44334</v>
          </cell>
          <cell r="HL7">
            <v>44335</v>
          </cell>
          <cell r="HM7">
            <v>44336</v>
          </cell>
          <cell r="HN7">
            <v>44337</v>
          </cell>
          <cell r="HO7">
            <v>44338</v>
          </cell>
          <cell r="HP7">
            <v>44339</v>
          </cell>
          <cell r="HQ7">
            <v>44340</v>
          </cell>
          <cell r="HR7">
            <v>44341</v>
          </cell>
          <cell r="HS7">
            <v>44342</v>
          </cell>
          <cell r="HT7">
            <v>44343</v>
          </cell>
          <cell r="HU7">
            <v>44344</v>
          </cell>
          <cell r="HV7">
            <v>44345</v>
          </cell>
          <cell r="HW7">
            <v>44346</v>
          </cell>
          <cell r="HX7">
            <v>44347</v>
          </cell>
          <cell r="HY7">
            <v>44348</v>
          </cell>
          <cell r="HZ7">
            <v>44349</v>
          </cell>
          <cell r="IA7">
            <v>44350</v>
          </cell>
          <cell r="IB7">
            <v>44351</v>
          </cell>
          <cell r="IC7">
            <v>44352</v>
          </cell>
          <cell r="ID7">
            <v>44353</v>
          </cell>
          <cell r="IE7">
            <v>44354</v>
          </cell>
          <cell r="IF7">
            <v>44355</v>
          </cell>
          <cell r="IG7">
            <v>44356</v>
          </cell>
          <cell r="IH7">
            <v>44357</v>
          </cell>
          <cell r="II7">
            <v>44358</v>
          </cell>
          <cell r="IJ7">
            <v>44359</v>
          </cell>
          <cell r="IK7">
            <v>44360</v>
          </cell>
          <cell r="IL7">
            <v>44361</v>
          </cell>
          <cell r="IM7">
            <v>44362</v>
          </cell>
          <cell r="IN7">
            <v>44363</v>
          </cell>
          <cell r="IO7">
            <v>44364</v>
          </cell>
          <cell r="IP7">
            <v>44365</v>
          </cell>
          <cell r="IQ7">
            <v>44366</v>
          </cell>
          <cell r="IR7">
            <v>44367</v>
          </cell>
          <cell r="IS7">
            <v>44368</v>
          </cell>
          <cell r="IT7">
            <v>44369</v>
          </cell>
          <cell r="IU7">
            <v>44370</v>
          </cell>
          <cell r="IV7">
            <v>44371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溝牆設計"/>
      <sheetName val="Sheet1"/>
      <sheetName val="二三類送審單"/>
      <sheetName val="基本單價"/>
      <sheetName val="預算書封面 (4)"/>
      <sheetName val="總表明細表"/>
      <sheetName val="NO1明細表 (2)"/>
      <sheetName val="堤防數量 "/>
      <sheetName val="材料計算明細表"/>
      <sheetName val="工雜2"/>
      <sheetName val="公勞3"/>
      <sheetName val="勞安環保"/>
      <sheetName val="公環4"/>
      <sheetName val="no5品質管制明細表"/>
      <sheetName val="土方計算表"/>
      <sheetName val="進度表"/>
      <sheetName val="混凝土175210"/>
      <sheetName val="甲乙種模型損耗"/>
      <sheetName val="5T混凝土塊及鋼筋"/>
      <sheetName val="級配砂石混排"/>
      <sheetName val="粘層及透層舖設"/>
      <sheetName val="瀝青混凝土拌合料"/>
      <sheetName val="AC面層舖設T=8CM"/>
      <sheetName val="護欄及植草磚"/>
      <sheetName val="坡面工及軟式透水管"/>
      <sheetName val="台灣欒樹及軟枝黃蟬"/>
      <sheetName val="非粘性土基礎塊"/>
      <sheetName val="舖塊石礫石"/>
      <sheetName val="表丙2"/>
      <sheetName val="表丙2 (3)"/>
      <sheetName val="工程數量表丙2 (5)"/>
      <sheetName val="工程數量表丙2 (6)"/>
      <sheetName val="工程數量表丙2 (7)"/>
      <sheetName val="環境保護措施費1 (2)"/>
      <sheetName val="工程數量表丙2 (4)"/>
      <sheetName val="預算書封面_(4)1"/>
      <sheetName val="NO1明細表_(2)1"/>
      <sheetName val="堤防數量_1"/>
      <sheetName val="表丙2_(3)1"/>
      <sheetName val="工程數量表丙2_(5)1"/>
      <sheetName val="工程數量表丙2_(6)1"/>
      <sheetName val="工程數量表丙2_(7)1"/>
      <sheetName val="環境保護措施費1_(2)1"/>
      <sheetName val="工程數量表丙2_(4)1"/>
      <sheetName val="預算書封面_(4)"/>
      <sheetName val="NO1明細表_(2)"/>
      <sheetName val="堤防數量_"/>
      <sheetName val="表丙2_(3)"/>
      <sheetName val="工程數量表丙2_(5)"/>
      <sheetName val="工程數量表丙2_(6)"/>
      <sheetName val="工程數量表丙2_(7)"/>
      <sheetName val="環境保護措施費1_(2)"/>
      <sheetName val="工程數量表丙2_(4)"/>
      <sheetName val="預算明細表"/>
      <sheetName val="預算書封面_(4)2"/>
      <sheetName val="NO1明細表_(2)2"/>
      <sheetName val="堤防數量_2"/>
      <sheetName val="表丙2_(3)2"/>
      <sheetName val="工程數量表丙2_(5)2"/>
      <sheetName val="工程數量表丙2_(6)2"/>
      <sheetName val="工程數量表丙2_(7)2"/>
      <sheetName val="環境保護措施費1_(2)2"/>
      <sheetName val="工程數量表丙2_(4)2"/>
      <sheetName val="工程預算書"/>
      <sheetName val="預算書封面_(4)4"/>
      <sheetName val="NO1明細表_(2)4"/>
      <sheetName val="堤防數量_4"/>
      <sheetName val="表丙2_(3)4"/>
      <sheetName val="工程數量表丙2_(5)4"/>
      <sheetName val="工程數量表丙2_(6)4"/>
      <sheetName val="工程數量表丙2_(7)4"/>
      <sheetName val="環境保護措施費1_(2)4"/>
      <sheetName val="工程數量表丙2_(4)4"/>
      <sheetName val="預算書封面_(4)3"/>
      <sheetName val="NO1明細表_(2)3"/>
      <sheetName val="堤防數量_3"/>
      <sheetName val="表丙2_(3)3"/>
      <sheetName val="工程數量表丙2_(5)3"/>
      <sheetName val="工程數量表丙2_(6)3"/>
      <sheetName val="工程數量表丙2_(7)3"/>
      <sheetName val="環境保護措施費1_(2)3"/>
      <sheetName val="工程數量表丙2_(4)3"/>
    </sheetNames>
    <sheetDataSet>
      <sheetData sheetId="0"/>
      <sheetData sheetId="1"/>
      <sheetData sheetId="2"/>
      <sheetData sheetId="3">
        <row r="9">
          <cell r="G9">
            <v>687</v>
          </cell>
        </row>
        <row r="11">
          <cell r="C11">
            <v>580</v>
          </cell>
        </row>
        <row r="13">
          <cell r="C13">
            <v>480</v>
          </cell>
        </row>
        <row r="16">
          <cell r="C16">
            <v>900</v>
          </cell>
        </row>
        <row r="17">
          <cell r="C17">
            <v>400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 refreshError="1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 refreshError="1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單價"/>
      <sheetName val="預算書封面 (4)"/>
      <sheetName val="環保"/>
      <sheetName val="勞安數 量 5"/>
      <sheetName val="預算書封面一類"/>
      <sheetName val="預算書封面"/>
      <sheetName val="預算書封面 (3)"/>
      <sheetName val="主選單"/>
      <sheetName val="各項單價分析表"/>
      <sheetName val="單價修正"/>
      <sheetName val="明細表"/>
      <sheetName val="進度表"/>
      <sheetName val="總表明細表"/>
      <sheetName val="總表明細表 (2)"/>
      <sheetName val="NO1明細表"/>
      <sheetName val="工雜6"/>
      <sheetName val="勞安環保"/>
      <sheetName val="公勞4"/>
      <sheetName val="公環5"/>
      <sheetName val="no7品質管制明細表"/>
      <sheetName val="NO2明細表"/>
      <sheetName val="NO3明細表"/>
      <sheetName val="單價分析表"/>
      <sheetName val="巨集表"/>
      <sheetName val="Macro1-模板混凝土"/>
      <sheetName val="Macro2-坡面工"/>
      <sheetName val="Macro3-A.C."/>
      <sheetName val="混凝土175"/>
      <sheetName val="甲種模型損耗(一般用)"/>
      <sheetName val="混凝土坡面工(機拍t=30,t=0.50)"/>
      <sheetName val="混排塊石"/>
      <sheetName val="鋼筋加工及組立"/>
      <sheetName val="粘層及透層舖設"/>
      <sheetName val="瀝青混凝土拌合料"/>
      <sheetName val="AC面層舖設T=8CM"/>
      <sheetName val="AC面層舖設T=5CM"/>
      <sheetName val="級配砂石粒料底層"/>
      <sheetName val="種黃槿"/>
      <sheetName val="穎川堤防側溝修復35M"/>
      <sheetName val="混凝土210"/>
      <sheetName val="種馬鞍籐"/>
      <sheetName val="非粘性土壤整平夯實費"/>
      <sheetName val="乙種模型損耗(基礎用)"/>
      <sheetName val="舖塊石"/>
      <sheetName val="混凝土坡面工(機拍t=20)"/>
      <sheetName val="混排塊石舖混凝土坡面工"/>
      <sheetName val="B型護欄"/>
      <sheetName val="2T混凝土塊製作費"/>
      <sheetName val="污染源"/>
      <sheetName val="A型護欄"/>
      <sheetName val="混凝土路面工t=0.20m"/>
      <sheetName val="模型損耗(結構體用)"/>
      <sheetName val="5T混凝土塊製作費"/>
      <sheetName val="C型護欄"/>
      <sheetName val="種大葉變葉木"/>
      <sheetName val="種軟枝黃蟬"/>
      <sheetName val="合力塊"/>
      <sheetName val="PU彩繪"/>
      <sheetName val="混排塊石下墊混凝土T=0.30M"/>
      <sheetName val="Macro4明細表"/>
      <sheetName val="單價分析主功能表"/>
      <sheetName val="其它單價VBA"/>
      <sheetName val="Module2"/>
      <sheetName val="Module1"/>
      <sheetName val=" 明細表 copy)"/>
      <sheetName val="工程數量表--乙"/>
      <sheetName val="工程數量表--乙 (1)"/>
      <sheetName val="工程數量表丙2"/>
      <sheetName val="工程數量表--丙(3)"/>
      <sheetName val="工程數量表丙2 (2)"/>
      <sheetName val="便橋丙6"/>
      <sheetName val="便橋丙7"/>
      <sheetName val="環境保護措施費1"/>
      <sheetName val="勞工安全衛生費1"/>
      <sheetName val="工程數量表--丙"/>
      <sheetName val="工程數量表--丙 水泥"/>
      <sheetName val="土方計算表"/>
      <sheetName val="土方計算表 (2)"/>
      <sheetName val="土方計算表 (5)"/>
      <sheetName val="土方計算表 (3)"/>
      <sheetName val="土方計算表 (4)"/>
      <sheetName val="混凝土210 (2)"/>
      <sheetName val="混凝土175 (2)"/>
      <sheetName val="混凝土坡面工(機拍t=30) (2)"/>
      <sheetName val="混凝土坡面工(機拍t=20) (2)"/>
      <sheetName val="混排塊石舖混凝土坡面工 (2)"/>
      <sheetName val="甲種模型損耗(一般用) (2)"/>
      <sheetName val="乙種模型損耗(基礎用) (2)"/>
      <sheetName val="合力塊 (2)"/>
      <sheetName val="鋼筋加工及組立 (2)"/>
      <sheetName val="粘層及透層舖設 (2)"/>
      <sheetName val="瀝青混凝土拌合料 (2)"/>
      <sheetName val="AC面層舖設T=5CM (2)"/>
      <sheetName val="AC面層舖設T=8CM (2)"/>
      <sheetName val="非粘性土壤整平夯實費 (2)"/>
      <sheetName val="2T混凝土塊製作費 (2)"/>
      <sheetName val="混排塊石 (2)"/>
      <sheetName val="B型護欄 (2)"/>
      <sheetName val="A型護欄 (2)"/>
      <sheetName val="C型護欄 (2)"/>
      <sheetName val="種黃槿 (2)"/>
      <sheetName val="種馬鞍籐 (2)"/>
      <sheetName val="PU彩繪 (2)"/>
      <sheetName val="NO1明細表 (2)"/>
      <sheetName val="NO2明細表  (2)"/>
      <sheetName val="NO3明細表 (2)"/>
      <sheetName val="NO4-5明細表 (2)"/>
      <sheetName val="工雜6 (2)"/>
      <sheetName val="公勞7 (2)"/>
      <sheetName val="公環8 (2)"/>
      <sheetName val="混排塊石下墊混凝土T=0.30M (2)"/>
      <sheetName val="穎川堤防側溝修復35M (2)"/>
      <sheetName val="總表明細表 (3)"/>
      <sheetName val="總表明細表 (4)"/>
      <sheetName val="估價單"/>
      <sheetName val="NO1明細表 (3)"/>
      <sheetName val="NO2明細表  (3)"/>
      <sheetName val="NO3明細表 (3)"/>
      <sheetName val="NO4-5明細表 (3)"/>
      <sheetName val="工雜6 (3)"/>
      <sheetName val="公勞7 (3)"/>
      <sheetName val="公環8 (3)"/>
      <sheetName val="混排塊石 (3)"/>
      <sheetName val="非粘性土壤整平夯實費 (3)"/>
      <sheetName val="混排塊石舖混凝土坡面工 (3)"/>
      <sheetName val="AC面層舖設T=8CM (3)"/>
      <sheetName val="AC面層舖設T=5CM (3)"/>
      <sheetName val="瀝青混凝土拌合料 (3)"/>
      <sheetName val="甲種模型損耗(一般用) (3)"/>
      <sheetName val="乙種模型損耗(基礎用) (3)"/>
      <sheetName val="鋼筋加工及組立 (3)"/>
      <sheetName val="粘層及透層舖設 (3)"/>
      <sheetName val="混凝土210 (3)"/>
      <sheetName val="混凝土175 (3)"/>
      <sheetName val="混凝土坡面工(機拍t=30) (3)"/>
      <sheetName val="混凝土坡面工(機拍t=20) (3)"/>
      <sheetName val="2T混凝土塊製作費 (3)"/>
      <sheetName val="混凝土路面工t=0.20m (2)"/>
      <sheetName val="B型護欄 (3)"/>
      <sheetName val="A型護欄 (3)"/>
      <sheetName val="C型護欄 (3)"/>
      <sheetName val="種黃槿 (3)"/>
      <sheetName val="種馬鞍籐 (3)"/>
      <sheetName val="合力塊 (3)"/>
      <sheetName val="PU彩繪 (3)"/>
      <sheetName val="混排塊石下墊混凝土T=0.30M (3)"/>
      <sheetName val="穎川堤防側溝修復35M (3)"/>
      <sheetName val="總表明細表 (5)"/>
      <sheetName val="總表明細表 (6)"/>
    </sheetNames>
    <sheetDataSet>
      <sheetData sheetId="0" refreshError="1">
        <row r="7">
          <cell r="C7">
            <v>700</v>
          </cell>
        </row>
        <row r="8">
          <cell r="C8">
            <v>800</v>
          </cell>
        </row>
        <row r="9">
          <cell r="C9">
            <v>900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>
        <row r="17">
          <cell r="I17">
            <v>1800</v>
          </cell>
        </row>
      </sheetData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總表 "/>
      <sheetName val="No.1"/>
      <sheetName val="No.2"/>
      <sheetName val="No34"/>
      <sheetName val="No5"/>
      <sheetName val="估價說明"/>
      <sheetName val="基本單價"/>
      <sheetName val="單價分析"/>
      <sheetName val="數量"/>
      <sheetName val="鋼筋"/>
      <sheetName val="挖填"/>
      <sheetName val="軟岩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二三類送審單"/>
      <sheetName val="基本單價"/>
      <sheetName val="環保"/>
      <sheetName val="勞安數 量 5"/>
      <sheetName val="總表明細表"/>
      <sheetName val="總表明細表 (2)"/>
      <sheetName val="NO1明細表"/>
      <sheetName val="NO2明細表"/>
      <sheetName val="NO3明細表"/>
      <sheetName val="工雜6"/>
      <sheetName val="勞安環保"/>
      <sheetName val="公勞4"/>
      <sheetName val="公環5"/>
      <sheetName val="no7品質管制明細表"/>
      <sheetName val="單價分析表"/>
      <sheetName val="混凝土175210"/>
      <sheetName val="甲乙種模型損耗"/>
      <sheetName val="種馬櫻丹及鋼筋"/>
      <sheetName val="級配砂石粒料底層"/>
      <sheetName val="粘層及透層舖設"/>
      <sheetName val="瀝青混凝土拌合料"/>
      <sheetName val="AC面層舖設T=8CM"/>
      <sheetName val="護欄及混排石"/>
      <sheetName val="混凝土坡面工(機拍t=30)及舖塊石"/>
      <sheetName val="種黃槿茄苳"/>
      <sheetName val="種馬鞍藤苦楝"/>
      <sheetName val="種蟛蜞菊及變葉木"/>
      <sheetName val="舖椰纖毯"/>
      <sheetName val="5T混凝土塊甲種機編蛇籠"/>
      <sheetName val="種紅葉鐵莧及噴草子"/>
      <sheetName val="土方及石方籠"/>
      <sheetName val="甲種蛇籠及土石方籠"/>
      <sheetName val="種台灣欒樹"/>
      <sheetName val="護欄85-40"/>
      <sheetName val="甲種蛇籠"/>
      <sheetName val="土石方籠"/>
      <sheetName val="混凝土坡面工(機拍t=30,t=0.50)"/>
      <sheetName val="非粘性土壤整平夯實費"/>
      <sheetName val="混凝土210"/>
      <sheetName val="鋼筋加工及組立"/>
      <sheetName val="甲種模型損耗(一般用)"/>
      <sheetName val="乙種模型損耗(基礎用)"/>
      <sheetName val="AC面層舖設T=5CM"/>
      <sheetName val="舖塊石"/>
      <sheetName val="混凝土坡面工(機拍t=20)"/>
      <sheetName val="混排塊石舖混凝土坡面工"/>
      <sheetName val="B型護欄"/>
      <sheetName val="2T混凝土塊製作費"/>
      <sheetName val="種馬鞍籐"/>
      <sheetName val="污染源"/>
      <sheetName val="A型護欄"/>
      <sheetName val="混凝土路面工t=0.20m"/>
      <sheetName val="模型損耗(結構體用)"/>
      <sheetName val="5T混凝土塊製作費"/>
      <sheetName val="C型護欄"/>
      <sheetName val="種大葉變葉木"/>
      <sheetName val="種軟枝黃蟬"/>
      <sheetName val="合力塊"/>
      <sheetName val="PU彩繪"/>
      <sheetName val="混排塊石下墊混凝土T=0.30M"/>
      <sheetName val="穎川堤防側溝修復35M"/>
      <sheetName val="乾砌塊石"/>
      <sheetName val=" 明細表 copy)"/>
      <sheetName val="工程數量表--乙"/>
      <sheetName val="工程數量表--乙 (1)"/>
      <sheetName val="工程數量表丙2"/>
      <sheetName val="工程數量表丙2 (2)"/>
      <sheetName val="工程數量表丙2 (3)"/>
      <sheetName val="便橋丙6"/>
      <sheetName val="便橋丙7"/>
      <sheetName val="環境保護措施費1"/>
      <sheetName val="勞工安全衛生費1"/>
      <sheetName val="工程數量表--丙(3)"/>
      <sheetName val="工程數量表--丙"/>
      <sheetName val="工程數量表--丙 水泥"/>
      <sheetName val="土方計算表"/>
      <sheetName val="土方計算表 (3)"/>
      <sheetName val="土方計算表 (2)"/>
      <sheetName val="土方計算表 (4)"/>
      <sheetName val="土方計算表 (5)"/>
      <sheetName val="土方計算表 (6)"/>
    </sheetNames>
    <sheetDataSet>
      <sheetData sheetId="0" refreshError="1"/>
      <sheetData sheetId="1" refreshError="1">
        <row r="7">
          <cell r="C7">
            <v>700</v>
          </cell>
        </row>
        <row r="12">
          <cell r="G12">
            <v>307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單價"/>
      <sheetName val="預算書封面 (4)"/>
      <sheetName val="環保"/>
      <sheetName val="勞安數 量 5"/>
      <sheetName val="預算書封面一類"/>
      <sheetName val="預算書封面"/>
      <sheetName val="預算書封面 (3)"/>
      <sheetName val="主選單"/>
      <sheetName val="各項單價分析表"/>
      <sheetName val="單價修正"/>
      <sheetName val="明細表"/>
      <sheetName val="總表明細表"/>
      <sheetName val="總表明細表 (2)"/>
      <sheetName val="NO1明細表"/>
      <sheetName val="NO2明細表 "/>
      <sheetName val="工雜6"/>
      <sheetName val="公環5"/>
      <sheetName val="公勞4"/>
      <sheetName val="單價分析表"/>
      <sheetName val="巨集表"/>
      <sheetName val="Macro1-模板混凝土"/>
      <sheetName val="Macro2-坡面工"/>
      <sheetName val="Macro3-A.C."/>
      <sheetName val="混凝土210"/>
      <sheetName val="混凝土175"/>
      <sheetName val="混凝土坡面工(機拍t=20)"/>
      <sheetName val="混凝土坡面工(機拍t=15)"/>
      <sheetName val="混排塊石"/>
      <sheetName val="舖級配砂石粒料底層t=0.30m"/>
      <sheetName val="模型損耗(結構體用)"/>
      <sheetName val="甲種模型損耗(一般用)"/>
      <sheetName val="乙種模型損耗(基礎用)"/>
      <sheetName val="鋼筋加工及組立"/>
      <sheetName val="粘層及透層舖設"/>
      <sheetName val="瀝青混凝土拌合料"/>
      <sheetName val="AC面層舖設T=5CM"/>
      <sheetName val="AC面層舖設T=8CM"/>
      <sheetName val="非粘性土壤整平夯實費"/>
      <sheetName val="5T混凝土塊製作費"/>
      <sheetName val="混凝土路面工t=0.20m"/>
      <sheetName val="B型護欄"/>
      <sheetName val="C型護欄"/>
      <sheetName val="種黃槿"/>
      <sheetName val="混排塊石下墊混凝土T=0.30M"/>
      <sheetName val="污染源"/>
      <sheetName val="預鑄混凝土"/>
      <sheetName val="舖塊石"/>
      <sheetName val="A型護欄"/>
      <sheetName val="種馬鞍籐"/>
      <sheetName val="種大葉變葉木"/>
      <sheetName val="種軟枝黃蟬"/>
      <sheetName val="合力塊"/>
      <sheetName val="2T混凝土塊製作費"/>
      <sheetName val="PU彩繪"/>
      <sheetName val="穎川堤防側溝修復35M"/>
      <sheetName val="Macro4明細表"/>
      <sheetName val="單價分析主功能表"/>
      <sheetName val="其它單價VBA"/>
      <sheetName val="Module2"/>
      <sheetName val="Module1"/>
      <sheetName val=" 明細表 copy)"/>
      <sheetName val="工程數量表--乙"/>
      <sheetName val="工程數量表--乙 (1)"/>
      <sheetName val="工程數量表丙2"/>
      <sheetName val="工程數量表丙2 (2)"/>
      <sheetName val="工程數量表--丙(3)"/>
      <sheetName val="工程數量表--丙 (4)"/>
      <sheetName val="勞安環保"/>
      <sheetName val="環境保護措施費1"/>
      <sheetName val="勞工安全衛生費1"/>
      <sheetName val="工程數量表--丙"/>
      <sheetName val="工程數量表--丙 水泥"/>
      <sheetName val="土方計算表"/>
      <sheetName val="土方計算表 (2)"/>
      <sheetName val="土方計算表 (3)"/>
      <sheetName val="土方計算表 (5)"/>
      <sheetName val="混凝土210 (2)"/>
      <sheetName val="混凝土175 (2)"/>
      <sheetName val="混凝土坡面工(機拍t=30) (2)"/>
      <sheetName val="混凝土坡面工(機拍t=20) (2)"/>
      <sheetName val="混排塊石舖混凝土坡面工 (2)"/>
      <sheetName val="甲種模型損耗(一般用) (2)"/>
      <sheetName val="乙種模型損耗(基礎用) (2)"/>
      <sheetName val="合力塊 (2)"/>
      <sheetName val="鋼筋加工及組立 (2)"/>
      <sheetName val="粘層及透層舖設 (2)"/>
      <sheetName val="瀝青混凝土拌合料 (2)"/>
      <sheetName val="AC面層舖設T=5CM (2)"/>
      <sheetName val="AC面層舖設T=8CM (2)"/>
      <sheetName val="非粘性土壤整平夯實費 (2)"/>
      <sheetName val="2T混凝土塊製作費 (2)"/>
      <sheetName val="混排塊石 (2)"/>
      <sheetName val="B型護欄 (2)"/>
      <sheetName val="A型護欄 (2)"/>
      <sheetName val="C型護欄 (2)"/>
      <sheetName val="種黃槿 (2)"/>
      <sheetName val="種馬鞍籐 (2)"/>
      <sheetName val="PU彩繪 (2)"/>
      <sheetName val="NO1明細表 (2)"/>
      <sheetName val="NO2明細表  (2)"/>
      <sheetName val="NO3明細表 (2)"/>
      <sheetName val="NO4-5明細表 (2)"/>
      <sheetName val="工雜6 (2)"/>
      <sheetName val="公勞7 (2)"/>
      <sheetName val="公環8 (2)"/>
      <sheetName val="混排塊石下墊混凝土T=0.30M (2)"/>
      <sheetName val="穎川堤防側溝修復35M (2)"/>
      <sheetName val="總表明細表 (3)"/>
      <sheetName val="總表明細表 (4)"/>
      <sheetName val="估價單"/>
      <sheetName val="NO1明細表 (3)"/>
      <sheetName val="NO2明細表  (3)"/>
      <sheetName val="NO3明細表 (3)"/>
      <sheetName val="NO4-5明細表 (3)"/>
      <sheetName val="工雜6 (3)"/>
      <sheetName val="公勞7 (3)"/>
      <sheetName val="公環8 (3)"/>
      <sheetName val="混排塊石 (3)"/>
      <sheetName val="非粘性土壤整平夯實費 (3)"/>
      <sheetName val="混排塊石舖混凝土坡面工 (3)"/>
      <sheetName val="AC面層舖設T=8CM (3)"/>
      <sheetName val="AC面層舖設T=5CM (3)"/>
      <sheetName val="瀝青混凝土拌合料 (3)"/>
      <sheetName val="甲種模型損耗(一般用) (3)"/>
      <sheetName val="乙種模型損耗(基礎用) (3)"/>
      <sheetName val="鋼筋加工及組立 (3)"/>
      <sheetName val="粘層及透層舖設 (3)"/>
      <sheetName val="混凝土210 (3)"/>
      <sheetName val="混凝土175 (3)"/>
      <sheetName val="混凝土坡面工(機拍t=30) (3)"/>
      <sheetName val="混凝土坡面工(機拍t=20) (3)"/>
      <sheetName val="2T混凝土塊製作費 (3)"/>
      <sheetName val="混凝土路面工t=0.20m (2)"/>
      <sheetName val="B型護欄 (3)"/>
      <sheetName val="A型護欄 (3)"/>
      <sheetName val="C型護欄 (3)"/>
      <sheetName val="種黃槿 (3)"/>
      <sheetName val="種馬鞍籐 (3)"/>
      <sheetName val="合力塊 (3)"/>
      <sheetName val="PU彩繪 (3)"/>
      <sheetName val="混排塊石下墊混凝土T=0.30M (3)"/>
      <sheetName val="穎川堤防側溝修復35M (3)"/>
      <sheetName val="總表明細表 (5)"/>
      <sheetName val="總表明細表 (6)"/>
    </sheetNames>
    <sheetDataSet>
      <sheetData sheetId="0" refreshError="1">
        <row r="4">
          <cell r="C4" t="str">
            <v>大湖口溪阿丹南勢堤防工程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溝牆設計"/>
      <sheetName val="Sheet1"/>
      <sheetName val="二三類送審單"/>
      <sheetName val="基本單價"/>
      <sheetName val="預算書封面 (4)"/>
      <sheetName val="總表明細表"/>
      <sheetName val="NO1明細表 (2)"/>
      <sheetName val="堤防數量 "/>
      <sheetName val="材料計算明細表"/>
      <sheetName val="工雜2"/>
      <sheetName val="公勞3"/>
      <sheetName val="勞安環保"/>
      <sheetName val="公環4"/>
      <sheetName val="no5品質管制明細表"/>
      <sheetName val="土方計算表"/>
      <sheetName val="進度表"/>
      <sheetName val="混凝土175210"/>
      <sheetName val="甲乙種模型損耗"/>
      <sheetName val="5T混凝土塊及鋼筋"/>
      <sheetName val="級配砂石混排"/>
      <sheetName val="粘層及透層舖設"/>
      <sheetName val="瀝青混凝土拌合料"/>
      <sheetName val="AC面層舖設T=8CM"/>
      <sheetName val="護欄及植草磚"/>
      <sheetName val="坡面工及軟式透水管"/>
      <sheetName val="台灣欒樹及軟枝黃蟬"/>
      <sheetName val="非粘性土基礎塊"/>
      <sheetName val="舖塊石礫石"/>
      <sheetName val="表丙2"/>
      <sheetName val="表丙2 (3)"/>
      <sheetName val="工程數量表丙2 (5)"/>
      <sheetName val="工程數量表丙2 (6)"/>
      <sheetName val="工程數量表丙2 (7)"/>
      <sheetName val="環境保護措施費1 (2)"/>
      <sheetName val="工程數量表丙2 (4)"/>
    </sheetNames>
    <sheetDataSet>
      <sheetData sheetId="0" refreshError="1"/>
      <sheetData sheetId="1" refreshError="1"/>
      <sheetData sheetId="2" refreshError="1"/>
      <sheetData sheetId="3" refreshError="1">
        <row r="8">
          <cell r="C8">
            <v>700</v>
          </cell>
        </row>
        <row r="10">
          <cell r="G10">
            <v>685</v>
          </cell>
        </row>
        <row r="11">
          <cell r="G11">
            <v>636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溝牆設計"/>
      <sheetName val="Sheet1"/>
      <sheetName val="二三類送審單"/>
      <sheetName val="基本單價"/>
      <sheetName val="預算書封面 (4)"/>
      <sheetName val="總表明細表"/>
      <sheetName val="NO1明細表 (2)"/>
      <sheetName val="堤防數量 "/>
      <sheetName val="材料計算明細表"/>
      <sheetName val="工雜2"/>
      <sheetName val="公勞3"/>
      <sheetName val="勞安環保"/>
      <sheetName val="公環4"/>
      <sheetName val="no5品質管制明細表"/>
      <sheetName val="土方計算表"/>
      <sheetName val="進度表"/>
      <sheetName val="混凝土175210"/>
      <sheetName val="甲乙種模型損耗"/>
      <sheetName val="5T混凝土塊及鋼筋"/>
      <sheetName val="級配砂石混排"/>
      <sheetName val="粘層及透層舖設"/>
      <sheetName val="瀝青混凝土拌合料"/>
      <sheetName val="AC面層舖設T=8CM"/>
      <sheetName val="護欄及植草磚"/>
      <sheetName val="坡面工及軟式透水管"/>
      <sheetName val="台灣欒樹及軟枝黃蟬"/>
      <sheetName val="非粘性土基礎塊"/>
      <sheetName val="舖塊石礫石"/>
      <sheetName val="表丙2"/>
      <sheetName val="表丙2 (3)"/>
      <sheetName val="工程數量表丙2 (5)"/>
      <sheetName val="工程數量表丙2 (6)"/>
      <sheetName val="工程數量表丙2 (7)"/>
      <sheetName val="環境保護措施費1 (2)"/>
      <sheetName val="工程數量表丙2 (4)"/>
      <sheetName val="預算書封面_(4)1"/>
      <sheetName val="NO1明細表_(2)1"/>
      <sheetName val="堤防數量_1"/>
      <sheetName val="表丙2_(3)1"/>
      <sheetName val="工程數量表丙2_(5)1"/>
      <sheetName val="工程數量表丙2_(6)1"/>
      <sheetName val="工程數量表丙2_(7)1"/>
      <sheetName val="環境保護措施費1_(2)1"/>
      <sheetName val="工程數量表丙2_(4)1"/>
      <sheetName val="預算書封面_(4)"/>
      <sheetName val="NO1明細表_(2)"/>
      <sheetName val="堤防數量_"/>
      <sheetName val="表丙2_(3)"/>
      <sheetName val="工程數量表丙2_(5)"/>
      <sheetName val="工程數量表丙2_(6)"/>
      <sheetName val="工程數量表丙2_(7)"/>
      <sheetName val="環境保護措施費1_(2)"/>
      <sheetName val="工程數量表丙2_(4)"/>
      <sheetName val="預算書封面_(4)2"/>
      <sheetName val="NO1明細表_(2)2"/>
      <sheetName val="堤防數量_2"/>
      <sheetName val="表丙2_(3)2"/>
      <sheetName val="工程數量表丙2_(5)2"/>
      <sheetName val="工程數量表丙2_(6)2"/>
      <sheetName val="工程數量表丙2_(7)2"/>
      <sheetName val="環境保護措施費1_(2)2"/>
      <sheetName val="工程數量表丙2_(4)2"/>
      <sheetName val="單價分析表(1-11)"/>
      <sheetName val="預算書封面_(4)4"/>
      <sheetName val="NO1明細表_(2)4"/>
      <sheetName val="堤防數量_4"/>
      <sheetName val="表丙2_(3)4"/>
      <sheetName val="工程數量表丙2_(5)4"/>
      <sheetName val="工程數量表丙2_(6)4"/>
      <sheetName val="工程數量表丙2_(7)4"/>
      <sheetName val="環境保護措施費1_(2)4"/>
      <sheetName val="工程數量表丙2_(4)4"/>
      <sheetName val="預算書封面_(4)3"/>
      <sheetName val="NO1明細表_(2)3"/>
      <sheetName val="堤防數量_3"/>
      <sheetName val="表丙2_(3)3"/>
      <sheetName val="工程數量表丙2_(5)3"/>
      <sheetName val="工程數量表丙2_(6)3"/>
      <sheetName val="工程數量表丙2_(7)3"/>
      <sheetName val="環境保護措施費1_(2)3"/>
      <sheetName val="工程數量表丙2_(4)3"/>
    </sheetNames>
    <sheetDataSet>
      <sheetData sheetId="0" refreshError="1"/>
      <sheetData sheetId="1" refreshError="1"/>
      <sheetData sheetId="2" refreshError="1"/>
      <sheetData sheetId="3" refreshError="1">
        <row r="12">
          <cell r="G12">
            <v>636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 refreshError="1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單價"/>
      <sheetName val="預算書封面 (4)"/>
      <sheetName val="環保"/>
      <sheetName val="勞安數 量 5"/>
      <sheetName val="預算書封面一類"/>
      <sheetName val="預算書封面"/>
      <sheetName val="預算書封面 (3)"/>
      <sheetName val="主選單"/>
      <sheetName val="各項單價分析表"/>
      <sheetName val="單價修正"/>
      <sheetName val="明細表"/>
      <sheetName val="總表明細表"/>
      <sheetName val="總表明細表 (2)"/>
      <sheetName val="NO1明細表"/>
      <sheetName val="NO2明細表 "/>
      <sheetName val="工雜6"/>
      <sheetName val="公環5"/>
      <sheetName val="公勞4"/>
      <sheetName val="單價分析表"/>
      <sheetName val="巨集表"/>
      <sheetName val="Macro1-模板混凝土"/>
      <sheetName val="Macro2-坡面工"/>
      <sheetName val="Macro3-A.C."/>
      <sheetName val="混凝土210"/>
      <sheetName val="混凝土175"/>
      <sheetName val="混凝土坡面工(機拍t=20)"/>
      <sheetName val="混凝土坡面工(機拍t=15)"/>
      <sheetName val="混排塊石"/>
      <sheetName val="舖級配砂石粒料底層t=0.30m"/>
      <sheetName val="模型損耗(結構體用)"/>
      <sheetName val="甲種模型損耗(一般用)"/>
      <sheetName val="乙種模型損耗(基礎用)"/>
      <sheetName val="鋼筋加工及組立"/>
      <sheetName val="粘層及透層舖設"/>
      <sheetName val="瀝青混凝土拌合料"/>
      <sheetName val="AC面層舖設T=5CM"/>
      <sheetName val="AC面層舖設T=8CM"/>
      <sheetName val="非粘性土壤整平夯實費"/>
      <sheetName val="5T混凝土塊製作費"/>
      <sheetName val="混凝土路面工t=0.20m"/>
      <sheetName val="B型護欄"/>
      <sheetName val="C型護欄"/>
      <sheetName val="種黃槿"/>
      <sheetName val="混排塊石下墊混凝土T=0.30M"/>
      <sheetName val="污染源"/>
      <sheetName val="預鑄混凝土"/>
      <sheetName val="舖塊石"/>
      <sheetName val="A型護欄"/>
      <sheetName val="種馬鞍籐"/>
      <sheetName val="種大葉變葉木"/>
      <sheetName val="種軟枝黃蟬"/>
      <sheetName val="合力塊"/>
      <sheetName val="2T混凝土塊製作費"/>
      <sheetName val="PU彩繪"/>
      <sheetName val="穎川堤防側溝修復35M"/>
      <sheetName val="Macro4明細表"/>
      <sheetName val="單價分析主功能表"/>
      <sheetName val="其它單價VBA"/>
      <sheetName val="Module2"/>
      <sheetName val="Module1"/>
      <sheetName val=" 明細表 copy)"/>
      <sheetName val="工程數量表--乙"/>
      <sheetName val="工程數量表--乙 (1)"/>
      <sheetName val="工程數量表丙2"/>
      <sheetName val="工程數量表丙2 (2)"/>
      <sheetName val="工程數量表--丙(3)"/>
      <sheetName val="工程數量表--丙 (4)"/>
      <sheetName val="勞安環保"/>
      <sheetName val="環境保護措施費1"/>
      <sheetName val="勞工安全衛生費1"/>
      <sheetName val="工程數量表--丙"/>
      <sheetName val="工程數量表--丙 水泥"/>
      <sheetName val="土方計算表"/>
      <sheetName val="土方計算表 (2)"/>
      <sheetName val="土方計算表 (3)"/>
      <sheetName val="土方計算表 (5)"/>
      <sheetName val="混凝土210 (2)"/>
      <sheetName val="混凝土175 (2)"/>
      <sheetName val="混凝土坡面工(機拍t=30) (2)"/>
      <sheetName val="混凝土坡面工(機拍t=20) (2)"/>
      <sheetName val="混排塊石舖混凝土坡面工 (2)"/>
      <sheetName val="甲種模型損耗(一般用) (2)"/>
      <sheetName val="乙種模型損耗(基礎用) (2)"/>
      <sheetName val="合力塊 (2)"/>
      <sheetName val="鋼筋加工及組立 (2)"/>
      <sheetName val="粘層及透層舖設 (2)"/>
      <sheetName val="瀝青混凝土拌合料 (2)"/>
      <sheetName val="AC面層舖設T=5CM (2)"/>
      <sheetName val="AC面層舖設T=8CM (2)"/>
      <sheetName val="非粘性土壤整平夯實費 (2)"/>
      <sheetName val="2T混凝土塊製作費 (2)"/>
      <sheetName val="混排塊石 (2)"/>
      <sheetName val="B型護欄 (2)"/>
      <sheetName val="A型護欄 (2)"/>
      <sheetName val="C型護欄 (2)"/>
      <sheetName val="種黃槿 (2)"/>
      <sheetName val="種馬鞍籐 (2)"/>
      <sheetName val="PU彩繪 (2)"/>
      <sheetName val="NO1明細表 (2)"/>
      <sheetName val="NO2明細表  (2)"/>
      <sheetName val="NO3明細表 (2)"/>
      <sheetName val="NO4-5明細表 (2)"/>
      <sheetName val="工雜6 (2)"/>
      <sheetName val="公勞7 (2)"/>
      <sheetName val="公環8 (2)"/>
      <sheetName val="混排塊石下墊混凝土T=0.30M (2)"/>
      <sheetName val="穎川堤防側溝修復35M (2)"/>
      <sheetName val="總表明細表 (3)"/>
      <sheetName val="總表明細表 (4)"/>
      <sheetName val="估價單"/>
      <sheetName val="NO1明細表 (3)"/>
      <sheetName val="NO2明細表  (3)"/>
      <sheetName val="NO3明細表 (3)"/>
      <sheetName val="NO4-5明細表 (3)"/>
      <sheetName val="工雜6 (3)"/>
      <sheetName val="公勞7 (3)"/>
      <sheetName val="公環8 (3)"/>
      <sheetName val="混排塊石 (3)"/>
      <sheetName val="非粘性土壤整平夯實費 (3)"/>
      <sheetName val="混排塊石舖混凝土坡面工 (3)"/>
      <sheetName val="AC面層舖設T=8CM (3)"/>
      <sheetName val="AC面層舖設T=5CM (3)"/>
      <sheetName val="瀝青混凝土拌合料 (3)"/>
      <sheetName val="甲種模型損耗(一般用) (3)"/>
      <sheetName val="乙種模型損耗(基礎用) (3)"/>
      <sheetName val="鋼筋加工及組立 (3)"/>
      <sheetName val="粘層及透層舖設 (3)"/>
      <sheetName val="混凝土210 (3)"/>
      <sheetName val="混凝土175 (3)"/>
      <sheetName val="混凝土坡面工(機拍t=30) (3)"/>
      <sheetName val="混凝土坡面工(機拍t=20) (3)"/>
      <sheetName val="2T混凝土塊製作費 (3)"/>
      <sheetName val="混凝土路面工t=0.20m (2)"/>
      <sheetName val="B型護欄 (3)"/>
      <sheetName val="A型護欄 (3)"/>
      <sheetName val="C型護欄 (3)"/>
      <sheetName val="種黃槿 (3)"/>
      <sheetName val="種馬鞍籐 (3)"/>
      <sheetName val="合力塊 (3)"/>
      <sheetName val="PU彩繪 (3)"/>
      <sheetName val="混排塊石下墊混凝土T=0.30M (3)"/>
      <sheetName val="穎川堤防側溝修復35M (3)"/>
      <sheetName val="總表明細表 (5)"/>
      <sheetName val="總表明細表 (6)"/>
    </sheetNames>
    <sheetDataSet>
      <sheetData sheetId="0" refreshError="1">
        <row r="3">
          <cell r="C3" t="str">
            <v>經濟部水利處第五河川局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單價"/>
      <sheetName val="預算書封面 (4)"/>
      <sheetName val="環保"/>
      <sheetName val="勞安數 量 5"/>
      <sheetName val="預算書封面一類"/>
      <sheetName val="預算書封面"/>
      <sheetName val="預算書封面 (3)"/>
      <sheetName val="主選單"/>
      <sheetName val="各項單價分析表"/>
      <sheetName val="單價修正"/>
      <sheetName val="明細表"/>
      <sheetName val="總表明細表"/>
      <sheetName val="總表明細表 (2)"/>
      <sheetName val="NO1明細表"/>
      <sheetName val="NO2明細表 "/>
      <sheetName val="工雜6"/>
      <sheetName val="公環5"/>
      <sheetName val="公勞4"/>
      <sheetName val="單價分析表"/>
      <sheetName val="巨集表"/>
      <sheetName val="Macro1-模板混凝土"/>
      <sheetName val="Macro2-坡面工"/>
      <sheetName val="Macro3-A.C."/>
      <sheetName val="混凝土210"/>
      <sheetName val="混凝土175"/>
      <sheetName val="混凝土坡面工(機拍t=20)"/>
      <sheetName val="混凝土坡面工(機拍t=15)"/>
      <sheetName val="混排塊石"/>
      <sheetName val="舖級配砂石粒料底層t=0.30m"/>
      <sheetName val="模型損耗(結構體用)"/>
      <sheetName val="甲種模型損耗(一般用)"/>
      <sheetName val="乙種模型損耗(基礎用)"/>
      <sheetName val="鋼筋加工及組立"/>
      <sheetName val="粘層及透層舖設"/>
      <sheetName val="瀝青混凝土拌合料"/>
      <sheetName val="AC面層舖設T=5CM"/>
      <sheetName val="AC面層舖設T=8CM"/>
      <sheetName val="非粘性土壤整平夯實費"/>
      <sheetName val="5T混凝土塊製作費"/>
      <sheetName val="混凝土路面工t=0.20m"/>
      <sheetName val="B型護欄"/>
      <sheetName val="C型護欄"/>
      <sheetName val="種黃槿"/>
      <sheetName val="混排塊石下墊混凝土T=0.30M"/>
      <sheetName val="污染源"/>
      <sheetName val="預鑄混凝土"/>
      <sheetName val="舖塊石"/>
      <sheetName val="A型護欄"/>
      <sheetName val="種馬鞍籐"/>
      <sheetName val="種大葉變葉木"/>
      <sheetName val="種軟枝黃蟬"/>
      <sheetName val="合力塊"/>
      <sheetName val="2T混凝土塊製作費"/>
      <sheetName val="PU彩繪"/>
      <sheetName val="穎川堤防側溝修復35M"/>
      <sheetName val="Macro4明細表"/>
      <sheetName val="單價分析主功能表"/>
      <sheetName val="其它單價VBA"/>
      <sheetName val="Module2"/>
      <sheetName val="Module1"/>
      <sheetName val=" 明細表 copy)"/>
      <sheetName val="工程數量表--乙"/>
      <sheetName val="工程數量表--乙 (1)"/>
      <sheetName val="工程數量表丙2"/>
      <sheetName val="工程數量表丙2 (2)"/>
      <sheetName val="工程數量表--丙(3)"/>
      <sheetName val="工程數量表--丙 (4)"/>
      <sheetName val="勞安環保"/>
      <sheetName val="環境保護措施費1"/>
      <sheetName val="勞工安全衛生費1"/>
      <sheetName val="工程數量表--丙"/>
      <sheetName val="工程數量表--丙 水泥"/>
      <sheetName val="土方計算表"/>
      <sheetName val="土方計算表 (2)"/>
      <sheetName val="土方計算表 (3)"/>
      <sheetName val="土方計算表 (5)"/>
      <sheetName val="混凝土210 (2)"/>
      <sheetName val="混凝土175 (2)"/>
      <sheetName val="混凝土坡面工(機拍t=30) (2)"/>
      <sheetName val="混凝土坡面工(機拍t=20) (2)"/>
      <sheetName val="混排塊石舖混凝土坡面工 (2)"/>
      <sheetName val="甲種模型損耗(一般用) (2)"/>
      <sheetName val="乙種模型損耗(基礎用) (2)"/>
      <sheetName val="合力塊 (2)"/>
      <sheetName val="鋼筋加工及組立 (2)"/>
      <sheetName val="粘層及透層舖設 (2)"/>
      <sheetName val="瀝青混凝土拌合料 (2)"/>
      <sheetName val="AC面層舖設T=5CM (2)"/>
      <sheetName val="AC面層舖設T=8CM (2)"/>
      <sheetName val="非粘性土壤整平夯實費 (2)"/>
      <sheetName val="2T混凝土塊製作費 (2)"/>
      <sheetName val="混排塊石 (2)"/>
      <sheetName val="B型護欄 (2)"/>
      <sheetName val="A型護欄 (2)"/>
      <sheetName val="C型護欄 (2)"/>
      <sheetName val="種黃槿 (2)"/>
      <sheetName val="種馬鞍籐 (2)"/>
      <sheetName val="PU彩繪 (2)"/>
      <sheetName val="NO1明細表 (2)"/>
      <sheetName val="NO2明細表  (2)"/>
      <sheetName val="NO3明細表 (2)"/>
      <sheetName val="NO4-5明細表 (2)"/>
      <sheetName val="工雜6 (2)"/>
      <sheetName val="公勞7 (2)"/>
      <sheetName val="公環8 (2)"/>
      <sheetName val="混排塊石下墊混凝土T=0.30M (2)"/>
      <sheetName val="穎川堤防側溝修復35M (2)"/>
      <sheetName val="總表明細表 (3)"/>
      <sheetName val="總表明細表 (4)"/>
      <sheetName val="估價單"/>
      <sheetName val="NO1明細表 (3)"/>
      <sheetName val="NO2明細表  (3)"/>
      <sheetName val="NO3明細表 (3)"/>
      <sheetName val="NO4-5明細表 (3)"/>
      <sheetName val="工雜6 (3)"/>
      <sheetName val="公勞7 (3)"/>
      <sheetName val="公環8 (3)"/>
      <sheetName val="混排塊石 (3)"/>
      <sheetName val="非粘性土壤整平夯實費 (3)"/>
      <sheetName val="混排塊石舖混凝土坡面工 (3)"/>
      <sheetName val="AC面層舖設T=8CM (3)"/>
      <sheetName val="AC面層舖設T=5CM (3)"/>
      <sheetName val="瀝青混凝土拌合料 (3)"/>
      <sheetName val="甲種模型損耗(一般用) (3)"/>
      <sheetName val="乙種模型損耗(基礎用) (3)"/>
      <sheetName val="鋼筋加工及組立 (3)"/>
      <sheetName val="粘層及透層舖設 (3)"/>
      <sheetName val="混凝土210 (3)"/>
      <sheetName val="混凝土175 (3)"/>
      <sheetName val="混凝土坡面工(機拍t=30) (3)"/>
      <sheetName val="混凝土坡面工(機拍t=20) (3)"/>
      <sheetName val="2T混凝土塊製作費 (3)"/>
      <sheetName val="混凝土路面工t=0.20m (2)"/>
      <sheetName val="B型護欄 (3)"/>
      <sheetName val="A型護欄 (3)"/>
      <sheetName val="C型護欄 (3)"/>
      <sheetName val="種黃槿 (3)"/>
      <sheetName val="種馬鞍籐 (3)"/>
      <sheetName val="合力塊 (3)"/>
      <sheetName val="PU彩繪 (3)"/>
      <sheetName val="混排塊石下墊混凝土T=0.30M (3)"/>
      <sheetName val="穎川堤防側溝修復35M (3)"/>
      <sheetName val="總表明細表 (5)"/>
      <sheetName val="總表明細表 (6)"/>
      <sheetName val="預算書封面_(4)1"/>
      <sheetName val="勞安數_量_51"/>
      <sheetName val="預算書封面_(3)1"/>
      <sheetName val="總表明細表_(2)1"/>
      <sheetName val="NO2明細表_1"/>
      <sheetName val="Macro3-A_C_1"/>
      <sheetName val="舖級配砂石粒料底層t=0_30m1"/>
      <sheetName val="混凝土路面工t=0_20m1"/>
      <sheetName val="混排塊石下墊混凝土T=0_30M1"/>
      <sheetName val="_明細表_copy)1"/>
      <sheetName val="工程數量表--乙_(1)1"/>
      <sheetName val="工程數量表丙2_(2)1"/>
      <sheetName val="工程數量表--丙_(4)1"/>
      <sheetName val="工程數量表--丙_水泥1"/>
      <sheetName val="土方計算表_(2)1"/>
      <sheetName val="土方計算表_(3)1"/>
      <sheetName val="土方計算表_(5)1"/>
      <sheetName val="混凝土210_(2)1"/>
      <sheetName val="混凝土175_(2)1"/>
      <sheetName val="混凝土坡面工(機拍t=30)_(2)1"/>
      <sheetName val="混凝土坡面工(機拍t=20)_(2)1"/>
      <sheetName val="混排塊石舖混凝土坡面工_(2)1"/>
      <sheetName val="甲種模型損耗(一般用)_(2)1"/>
      <sheetName val="乙種模型損耗(基礎用)_(2)1"/>
      <sheetName val="合力塊_(2)1"/>
      <sheetName val="鋼筋加工及組立_(2)1"/>
      <sheetName val="粘層及透層舖設_(2)1"/>
      <sheetName val="瀝青混凝土拌合料_(2)1"/>
      <sheetName val="AC面層舖設T=5CM_(2)1"/>
      <sheetName val="AC面層舖設T=8CM_(2)1"/>
      <sheetName val="非粘性土壤整平夯實費_(2)1"/>
      <sheetName val="2T混凝土塊製作費_(2)1"/>
      <sheetName val="混排塊石_(2)1"/>
      <sheetName val="B型護欄_(2)1"/>
      <sheetName val="A型護欄_(2)1"/>
      <sheetName val="C型護欄_(2)1"/>
      <sheetName val="種黃槿_(2)1"/>
      <sheetName val="種馬鞍籐_(2)1"/>
      <sheetName val="PU彩繪_(2)1"/>
      <sheetName val="NO1明細表_(2)1"/>
      <sheetName val="NO2明細表__(2)1"/>
      <sheetName val="NO3明細表_(2)1"/>
      <sheetName val="NO4-5明細表_(2)1"/>
      <sheetName val="工雜6_(2)1"/>
      <sheetName val="公勞7_(2)1"/>
      <sheetName val="公環8_(2)1"/>
      <sheetName val="混排塊石下墊混凝土T=0_30M_(2)1"/>
      <sheetName val="穎川堤防側溝修復35M_(2)1"/>
      <sheetName val="總表明細表_(3)1"/>
      <sheetName val="總表明細表_(4)1"/>
      <sheetName val="NO1明細表_(3)1"/>
      <sheetName val="NO2明細表__(3)1"/>
      <sheetName val="NO3明細表_(3)1"/>
      <sheetName val="NO4-5明細表_(3)1"/>
      <sheetName val="工雜6_(3)1"/>
      <sheetName val="公勞7_(3)1"/>
      <sheetName val="公環8_(3)1"/>
      <sheetName val="混排塊石_(3)1"/>
      <sheetName val="非粘性土壤整平夯實費_(3)1"/>
      <sheetName val="混排塊石舖混凝土坡面工_(3)1"/>
      <sheetName val="AC面層舖設T=8CM_(3)1"/>
      <sheetName val="AC面層舖設T=5CM_(3)1"/>
      <sheetName val="瀝青混凝土拌合料_(3)1"/>
      <sheetName val="甲種模型損耗(一般用)_(3)1"/>
      <sheetName val="乙種模型損耗(基礎用)_(3)1"/>
      <sheetName val="鋼筋加工及組立_(3)1"/>
      <sheetName val="粘層及透層舖設_(3)1"/>
      <sheetName val="混凝土210_(3)1"/>
      <sheetName val="混凝土175_(3)1"/>
      <sheetName val="混凝土坡面工(機拍t=30)_(3)1"/>
      <sheetName val="混凝土坡面工(機拍t=20)_(3)1"/>
      <sheetName val="2T混凝土塊製作費_(3)1"/>
      <sheetName val="混凝土路面工t=0_20m_(2)1"/>
      <sheetName val="B型護欄_(3)1"/>
      <sheetName val="A型護欄_(3)1"/>
      <sheetName val="C型護欄_(3)1"/>
      <sheetName val="種黃槿_(3)1"/>
      <sheetName val="種馬鞍籐_(3)1"/>
      <sheetName val="合力塊_(3)1"/>
      <sheetName val="PU彩繪_(3)1"/>
      <sheetName val="混排塊石下墊混凝土T=0_30M_(3)1"/>
      <sheetName val="穎川堤防側溝修復35M_(3)1"/>
      <sheetName val="總表明細表_(5)1"/>
      <sheetName val="總表明細表_(6)1"/>
      <sheetName val="預算書封面_(4)"/>
      <sheetName val="勞安數_量_5"/>
      <sheetName val="預算書封面_(3)"/>
      <sheetName val="總表明細表_(2)"/>
      <sheetName val="NO2明細表_"/>
      <sheetName val="Macro3-A_C_"/>
      <sheetName val="舖級配砂石粒料底層t=0_30m"/>
      <sheetName val="混凝土路面工t=0_20m"/>
      <sheetName val="混排塊石下墊混凝土T=0_30M"/>
      <sheetName val="_明細表_copy)"/>
      <sheetName val="工程數量表--乙_(1)"/>
      <sheetName val="工程數量表丙2_(2)"/>
      <sheetName val="工程數量表--丙_(4)"/>
      <sheetName val="工程數量表--丙_水泥"/>
      <sheetName val="土方計算表_(2)"/>
      <sheetName val="土方計算表_(3)"/>
      <sheetName val="土方計算表_(5)"/>
      <sheetName val="混凝土210_(2)"/>
      <sheetName val="混凝土175_(2)"/>
      <sheetName val="混凝土坡面工(機拍t=30)_(2)"/>
      <sheetName val="混凝土坡面工(機拍t=20)_(2)"/>
      <sheetName val="混排塊石舖混凝土坡面工_(2)"/>
      <sheetName val="甲種模型損耗(一般用)_(2)"/>
      <sheetName val="乙種模型損耗(基礎用)_(2)"/>
      <sheetName val="合力塊_(2)"/>
      <sheetName val="鋼筋加工及組立_(2)"/>
      <sheetName val="粘層及透層舖設_(2)"/>
      <sheetName val="瀝青混凝土拌合料_(2)"/>
      <sheetName val="AC面層舖設T=5CM_(2)"/>
      <sheetName val="AC面層舖設T=8CM_(2)"/>
      <sheetName val="非粘性土壤整平夯實費_(2)"/>
      <sheetName val="2T混凝土塊製作費_(2)"/>
      <sheetName val="混排塊石_(2)"/>
      <sheetName val="B型護欄_(2)"/>
      <sheetName val="A型護欄_(2)"/>
      <sheetName val="C型護欄_(2)"/>
      <sheetName val="種黃槿_(2)"/>
      <sheetName val="種馬鞍籐_(2)"/>
      <sheetName val="PU彩繪_(2)"/>
      <sheetName val="NO1明細表_(2)"/>
      <sheetName val="NO2明細表__(2)"/>
      <sheetName val="NO3明細表_(2)"/>
      <sheetName val="NO4-5明細表_(2)"/>
      <sheetName val="工雜6_(2)"/>
      <sheetName val="公勞7_(2)"/>
      <sheetName val="公環8_(2)"/>
      <sheetName val="混排塊石下墊混凝土T=0_30M_(2)"/>
      <sheetName val="穎川堤防側溝修復35M_(2)"/>
      <sheetName val="總表明細表_(3)"/>
      <sheetName val="總表明細表_(4)"/>
      <sheetName val="NO1明細表_(3)"/>
      <sheetName val="NO2明細表__(3)"/>
      <sheetName val="NO3明細表_(3)"/>
      <sheetName val="NO4-5明細表_(3)"/>
      <sheetName val="工雜6_(3)"/>
      <sheetName val="公勞7_(3)"/>
      <sheetName val="公環8_(3)"/>
      <sheetName val="混排塊石_(3)"/>
      <sheetName val="非粘性土壤整平夯實費_(3)"/>
      <sheetName val="混排塊石舖混凝土坡面工_(3)"/>
      <sheetName val="AC面層舖設T=8CM_(3)"/>
      <sheetName val="AC面層舖設T=5CM_(3)"/>
      <sheetName val="瀝青混凝土拌合料_(3)"/>
      <sheetName val="甲種模型損耗(一般用)_(3)"/>
      <sheetName val="乙種模型損耗(基礎用)_(3)"/>
      <sheetName val="鋼筋加工及組立_(3)"/>
      <sheetName val="粘層及透層舖設_(3)"/>
      <sheetName val="混凝土210_(3)"/>
      <sheetName val="混凝土175_(3)"/>
      <sheetName val="混凝土坡面工(機拍t=30)_(3)"/>
      <sheetName val="混凝土坡面工(機拍t=20)_(3)"/>
      <sheetName val="2T混凝土塊製作費_(3)"/>
      <sheetName val="混凝土路面工t=0_20m_(2)"/>
      <sheetName val="B型護欄_(3)"/>
      <sheetName val="A型護欄_(3)"/>
      <sheetName val="C型護欄_(3)"/>
      <sheetName val="種黃槿_(3)"/>
      <sheetName val="種馬鞍籐_(3)"/>
      <sheetName val="合力塊_(3)"/>
      <sheetName val="PU彩繪_(3)"/>
      <sheetName val="混排塊石下墊混凝土T=0_30M_(3)"/>
      <sheetName val="穎川堤防側溝修復35M_(3)"/>
      <sheetName val="總表明細表_(5)"/>
      <sheetName val="總表明細表_(6)"/>
      <sheetName val="預算書"/>
      <sheetName val="預算書封面_(4)2"/>
      <sheetName val="勞安數_量_52"/>
      <sheetName val="預算書封面_(3)2"/>
      <sheetName val="總表明細表_(2)2"/>
      <sheetName val="NO2明細表_2"/>
      <sheetName val="Macro3-A_C_2"/>
      <sheetName val="舖級配砂石粒料底層t=0_30m2"/>
      <sheetName val="混凝土路面工t=0_20m2"/>
      <sheetName val="混排塊石下墊混凝土T=0_30M2"/>
      <sheetName val="_明細表_copy)2"/>
      <sheetName val="工程數量表--乙_(1)2"/>
      <sheetName val="工程數量表丙2_(2)2"/>
      <sheetName val="工程數量表--丙_(4)2"/>
      <sheetName val="工程數量表--丙_水泥2"/>
      <sheetName val="土方計算表_(2)2"/>
      <sheetName val="土方計算表_(3)2"/>
      <sheetName val="土方計算表_(5)2"/>
      <sheetName val="混凝土210_(2)2"/>
      <sheetName val="混凝土175_(2)2"/>
      <sheetName val="混凝土坡面工(機拍t=30)_(2)2"/>
      <sheetName val="混凝土坡面工(機拍t=20)_(2)2"/>
      <sheetName val="混排塊石舖混凝土坡面工_(2)2"/>
      <sheetName val="甲種模型損耗(一般用)_(2)2"/>
    </sheetNames>
    <sheetDataSet>
      <sheetData sheetId="0">
        <row r="4">
          <cell r="C4" t="str">
            <v>大湖口溪阿丹南勢堤防工程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 refreshError="1"/>
      <sheetData sheetId="58" refreshError="1"/>
      <sheetData sheetId="59" refreshError="1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 refreshError="1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預算總表"/>
      <sheetName val="明細表(二)"/>
      <sheetName val="明細表(三)"/>
      <sheetName val="明細表(四)"/>
      <sheetName val="明細表(五)"/>
      <sheetName val="統計表（全部）"/>
      <sheetName val="土方調配表"/>
      <sheetName val="進度表  (2)"/>
      <sheetName val="明細表(一)09"/>
      <sheetName val="單價分析表12"/>
      <sheetName val="數量計算-09"/>
      <sheetName val="土方-09"/>
      <sheetName val="鋼筋表-09"/>
      <sheetName val="斷面-0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單價"/>
      <sheetName val="預算書封面 (4)"/>
      <sheetName val="環保"/>
      <sheetName val="勞安數 量 5"/>
      <sheetName val="預算書封面一類"/>
      <sheetName val="預算書封面"/>
      <sheetName val="預算書封面 (3)"/>
      <sheetName val="主選單"/>
      <sheetName val="各項單價分析表"/>
      <sheetName val="單價修正"/>
      <sheetName val="明細表"/>
      <sheetName val="總表明細表"/>
      <sheetName val="總表明細表 (2)"/>
      <sheetName val="NO1明細表"/>
      <sheetName val="NO2明細表 "/>
      <sheetName val="工雜6"/>
      <sheetName val="公環5"/>
      <sheetName val="公勞4"/>
      <sheetName val="單價分析表"/>
      <sheetName val="巨集表"/>
      <sheetName val="Macro1-模板混凝土"/>
      <sheetName val="Macro2-坡面工"/>
      <sheetName val="Macro3-A.C."/>
      <sheetName val="混凝土210"/>
      <sheetName val="混凝土175"/>
      <sheetName val="混凝土坡面工(機拍t=20)"/>
      <sheetName val="混凝土坡面工(機拍t=15)"/>
      <sheetName val="混排塊石"/>
      <sheetName val="舖級配砂石粒料底層t=0.30m"/>
      <sheetName val="模型損耗(結構體用)"/>
      <sheetName val="甲種模型損耗(一般用)"/>
      <sheetName val="乙種模型損耗(基礎用)"/>
      <sheetName val="鋼筋加工及組立"/>
      <sheetName val="粘層及透層舖設"/>
      <sheetName val="瀝青混凝土拌合料"/>
      <sheetName val="AC面層舖設T=5CM"/>
      <sheetName val="AC面層舖設T=8CM"/>
      <sheetName val="非粘性土壤整平夯實費"/>
      <sheetName val="5T混凝土塊製作費"/>
      <sheetName val="混凝土路面工t=0.20m"/>
      <sheetName val="B型護欄"/>
      <sheetName val="C型護欄"/>
      <sheetName val="種黃槿"/>
      <sheetName val="混排塊石下墊混凝土T=0.30M"/>
      <sheetName val="污染源"/>
      <sheetName val="預鑄混凝土"/>
      <sheetName val="舖塊石"/>
      <sheetName val="A型護欄"/>
      <sheetName val="種馬鞍籐"/>
      <sheetName val="種大葉變葉木"/>
      <sheetName val="種軟枝黃蟬"/>
      <sheetName val="合力塊"/>
      <sheetName val="2T混凝土塊製作費"/>
      <sheetName val="PU彩繪"/>
      <sheetName val="穎川堤防側溝修復35M"/>
      <sheetName val="Macro4明細表"/>
      <sheetName val="單價分析主功能表"/>
      <sheetName val="其它單價VBA"/>
      <sheetName val="Module2"/>
      <sheetName val="Module1"/>
      <sheetName val=" 明細表 copy)"/>
      <sheetName val="工程數量表--乙"/>
      <sheetName val="工程數量表--乙 (1)"/>
      <sheetName val="工程數量表丙2"/>
      <sheetName val="工程數量表丙2 (2)"/>
      <sheetName val="工程數量表--丙(3)"/>
      <sheetName val="工程數量表--丙 (4)"/>
      <sheetName val="勞安環保"/>
      <sheetName val="環境保護措施費1"/>
      <sheetName val="勞工安全衛生費1"/>
      <sheetName val="工程數量表--丙"/>
      <sheetName val="工程數量表--丙 水泥"/>
      <sheetName val="土方計算表"/>
      <sheetName val="土方計算表 (2)"/>
      <sheetName val="土方計算表 (3)"/>
      <sheetName val="土方計算表 (5)"/>
      <sheetName val="混凝土210 (2)"/>
      <sheetName val="混凝土175 (2)"/>
      <sheetName val="混凝土坡面工(機拍t=30) (2)"/>
      <sheetName val="混凝土坡面工(機拍t=20) (2)"/>
      <sheetName val="混排塊石舖混凝土坡面工 (2)"/>
      <sheetName val="甲種模型損耗(一般用) (2)"/>
      <sheetName val="乙種模型損耗(基礎用) (2)"/>
      <sheetName val="合力塊 (2)"/>
      <sheetName val="鋼筋加工及組立 (2)"/>
      <sheetName val="粘層及透層舖設 (2)"/>
      <sheetName val="瀝青混凝土拌合料 (2)"/>
      <sheetName val="AC面層舖設T=5CM (2)"/>
      <sheetName val="AC面層舖設T=8CM (2)"/>
      <sheetName val="非粘性土壤整平夯實費 (2)"/>
      <sheetName val="2T混凝土塊製作費 (2)"/>
      <sheetName val="混排塊石 (2)"/>
      <sheetName val="B型護欄 (2)"/>
      <sheetName val="A型護欄 (2)"/>
      <sheetName val="C型護欄 (2)"/>
      <sheetName val="種黃槿 (2)"/>
      <sheetName val="種馬鞍籐 (2)"/>
      <sheetName val="PU彩繪 (2)"/>
      <sheetName val="NO1明細表 (2)"/>
      <sheetName val="NO2明細表  (2)"/>
      <sheetName val="NO3明細表 (2)"/>
      <sheetName val="NO4-5明細表 (2)"/>
      <sheetName val="工雜6 (2)"/>
      <sheetName val="公勞7 (2)"/>
      <sheetName val="公環8 (2)"/>
      <sheetName val="混排塊石下墊混凝土T=0.30M (2)"/>
      <sheetName val="穎川堤防側溝修復35M (2)"/>
      <sheetName val="總表明細表 (3)"/>
      <sheetName val="總表明細表 (4)"/>
      <sheetName val="估價單"/>
      <sheetName val="NO1明細表 (3)"/>
      <sheetName val="NO2明細表  (3)"/>
      <sheetName val="NO3明細表 (3)"/>
      <sheetName val="NO4-5明細表 (3)"/>
      <sheetName val="工雜6 (3)"/>
      <sheetName val="公勞7 (3)"/>
      <sheetName val="公環8 (3)"/>
      <sheetName val="混排塊石 (3)"/>
      <sheetName val="非粘性土壤整平夯實費 (3)"/>
      <sheetName val="混排塊石舖混凝土坡面工 (3)"/>
      <sheetName val="AC面層舖設T=8CM (3)"/>
      <sheetName val="AC面層舖設T=5CM (3)"/>
      <sheetName val="瀝青混凝土拌合料 (3)"/>
      <sheetName val="甲種模型損耗(一般用) (3)"/>
      <sheetName val="乙種模型損耗(基礎用) (3)"/>
      <sheetName val="鋼筋加工及組立 (3)"/>
      <sheetName val="粘層及透層舖設 (3)"/>
      <sheetName val="混凝土210 (3)"/>
      <sheetName val="混凝土175 (3)"/>
      <sheetName val="混凝土坡面工(機拍t=30) (3)"/>
      <sheetName val="混凝土坡面工(機拍t=20) (3)"/>
      <sheetName val="2T混凝土塊製作費 (3)"/>
      <sheetName val="混凝土路面工t=0.20m (2)"/>
      <sheetName val="B型護欄 (3)"/>
      <sheetName val="A型護欄 (3)"/>
      <sheetName val="C型護欄 (3)"/>
      <sheetName val="種黃槿 (3)"/>
      <sheetName val="種馬鞍籐 (3)"/>
      <sheetName val="合力塊 (3)"/>
      <sheetName val="PU彩繪 (3)"/>
      <sheetName val="混排塊石下墊混凝土T=0.30M (3)"/>
      <sheetName val="穎川堤防側溝修復35M (3)"/>
      <sheetName val="總表明細表 (5)"/>
      <sheetName val="總表明細表 (6)"/>
    </sheetNames>
    <sheetDataSet>
      <sheetData sheetId="0" refreshError="1">
        <row r="4">
          <cell r="C4" t="str">
            <v>大湖口溪阿丹南勢堤防工程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5"/>
  <sheetViews>
    <sheetView workbookViewId="0">
      <selection activeCell="A2" sqref="A2"/>
    </sheetView>
  </sheetViews>
  <sheetFormatPr defaultRowHeight="16.5" x14ac:dyDescent="0.25"/>
  <sheetData>
    <row r="1" spans="1:5" x14ac:dyDescent="0.25">
      <c r="A1">
        <v>25</v>
      </c>
      <c r="B1" t="s">
        <v>69</v>
      </c>
      <c r="D1">
        <v>120</v>
      </c>
      <c r="E1" t="s">
        <v>76</v>
      </c>
    </row>
    <row r="2" spans="1:5" x14ac:dyDescent="0.25">
      <c r="A2">
        <v>3</v>
      </c>
      <c r="B2" t="s">
        <v>67</v>
      </c>
      <c r="D2">
        <v>0</v>
      </c>
      <c r="E2" t="s">
        <v>167</v>
      </c>
    </row>
    <row r="3" spans="1:5" x14ac:dyDescent="0.25">
      <c r="A3">
        <v>5</v>
      </c>
      <c r="B3" t="s">
        <v>68</v>
      </c>
    </row>
    <row r="4" spans="1:5" x14ac:dyDescent="0.25">
      <c r="A4">
        <v>8</v>
      </c>
      <c r="B4" t="s">
        <v>420</v>
      </c>
    </row>
    <row r="5" spans="1:5" x14ac:dyDescent="0.25">
      <c r="A5">
        <f>10-D2</f>
        <v>10</v>
      </c>
      <c r="B5" t="s">
        <v>421</v>
      </c>
    </row>
  </sheetData>
  <phoneticPr fontId="6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35"/>
  <sheetViews>
    <sheetView view="pageBreakPreview" topLeftCell="B1" zoomScaleNormal="100" workbookViewId="0"/>
  </sheetViews>
  <sheetFormatPr defaultRowHeight="16.5" x14ac:dyDescent="0.25"/>
  <cols>
    <col min="1" max="1" width="0" hidden="1" customWidth="1"/>
    <col min="2" max="2" width="22.25" customWidth="1"/>
    <col min="3" max="3" width="14" customWidth="1"/>
    <col min="4" max="4" width="10.875" customWidth="1"/>
    <col min="5" max="5" width="16.125" bestFit="1" customWidth="1"/>
    <col min="6" max="6" width="18.75" customWidth="1"/>
    <col min="7" max="7" width="13.5" customWidth="1"/>
  </cols>
  <sheetData>
    <row r="1" spans="1:24" x14ac:dyDescent="0.25">
      <c r="B1" s="5" t="s">
        <v>6</v>
      </c>
      <c r="C1" s="9">
        <f>E1-10</f>
        <v>45793</v>
      </c>
      <c r="D1" s="5" t="s">
        <v>7</v>
      </c>
      <c r="E1" s="9">
        <f>基本資料!A2</f>
        <v>45803</v>
      </c>
      <c r="F1" s="5" t="s">
        <v>8</v>
      </c>
      <c r="G1" s="9">
        <f>基本資料!B2</f>
        <v>45922</v>
      </c>
    </row>
    <row r="2" spans="1:24" x14ac:dyDescent="0.25">
      <c r="C2" t="s">
        <v>5</v>
      </c>
      <c r="D2" t="s">
        <v>34</v>
      </c>
      <c r="E2" t="s">
        <v>35</v>
      </c>
      <c r="F2" t="s">
        <v>36</v>
      </c>
      <c r="G2" t="s">
        <v>9</v>
      </c>
      <c r="X2">
        <v>1</v>
      </c>
    </row>
    <row r="3" spans="1:24" x14ac:dyDescent="0.25">
      <c r="A3">
        <v>1</v>
      </c>
      <c r="B3" s="5" t="s">
        <v>4</v>
      </c>
      <c r="C3" s="9">
        <f>C1-1</f>
        <v>45792</v>
      </c>
      <c r="D3" s="5"/>
      <c r="E3" s="5"/>
      <c r="F3" s="5"/>
      <c r="G3" s="12" t="s">
        <v>10</v>
      </c>
    </row>
    <row r="4" spans="1:24" x14ac:dyDescent="0.25">
      <c r="A4">
        <v>2</v>
      </c>
      <c r="B4" s="5" t="s">
        <v>11</v>
      </c>
      <c r="C4" s="9">
        <f>C1+15</f>
        <v>45808</v>
      </c>
      <c r="D4" s="5"/>
      <c r="E4" s="5"/>
      <c r="F4" s="5"/>
      <c r="G4" s="12" t="s">
        <v>59</v>
      </c>
    </row>
    <row r="5" spans="1:24" x14ac:dyDescent="0.25">
      <c r="A5">
        <v>3</v>
      </c>
      <c r="B5" s="5" t="s">
        <v>12</v>
      </c>
      <c r="C5" s="9">
        <f>C1+15</f>
        <v>45808</v>
      </c>
      <c r="D5" s="5"/>
      <c r="E5" s="5"/>
      <c r="F5" s="5"/>
      <c r="G5" s="12" t="s">
        <v>13</v>
      </c>
    </row>
    <row r="6" spans="1:24" x14ac:dyDescent="0.25">
      <c r="A6">
        <v>4</v>
      </c>
      <c r="B6" s="5" t="s">
        <v>14</v>
      </c>
      <c r="C6" s="9">
        <f>C1+15</f>
        <v>45808</v>
      </c>
      <c r="D6" s="5"/>
      <c r="E6" s="5"/>
      <c r="F6" s="5"/>
      <c r="G6" s="12" t="s">
        <v>15</v>
      </c>
    </row>
    <row r="7" spans="1:24" x14ac:dyDescent="0.25">
      <c r="A7">
        <v>5</v>
      </c>
      <c r="B7" s="5" t="s">
        <v>16</v>
      </c>
      <c r="C7" s="9">
        <f>E1-1</f>
        <v>45802</v>
      </c>
      <c r="D7" s="5"/>
      <c r="E7" s="5"/>
      <c r="F7" s="5"/>
      <c r="G7" s="12" t="s">
        <v>17</v>
      </c>
    </row>
    <row r="8" spans="1:24" x14ac:dyDescent="0.25">
      <c r="A8">
        <v>6</v>
      </c>
      <c r="B8" s="5" t="s">
        <v>18</v>
      </c>
      <c r="C8" s="9">
        <f>E1+1</f>
        <v>45804</v>
      </c>
      <c r="D8" s="5"/>
      <c r="E8" s="5"/>
      <c r="F8" s="5"/>
      <c r="G8" s="12" t="s">
        <v>19</v>
      </c>
    </row>
    <row r="10" spans="1:24" hidden="1" x14ac:dyDescent="0.25">
      <c r="B10" s="15"/>
      <c r="C10" s="15" t="s">
        <v>23</v>
      </c>
      <c r="D10" s="16" t="s">
        <v>24</v>
      </c>
      <c r="E10" s="15" t="s">
        <v>25</v>
      </c>
      <c r="F10" s="15" t="s">
        <v>9</v>
      </c>
      <c r="G10" s="12" t="s">
        <v>52</v>
      </c>
      <c r="H10" s="18" t="s">
        <v>56</v>
      </c>
    </row>
    <row r="11" spans="1:24" x14ac:dyDescent="0.25">
      <c r="A11" s="25"/>
      <c r="B11" s="26" t="s">
        <v>70</v>
      </c>
      <c r="C11" s="26"/>
      <c r="D11" s="26"/>
      <c r="E11" s="26"/>
      <c r="F11" s="26"/>
      <c r="G11" s="25" t="s">
        <v>53</v>
      </c>
      <c r="H11" s="25" t="s">
        <v>71</v>
      </c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4" hidden="1" x14ac:dyDescent="0.25">
      <c r="B12" s="5" t="s">
        <v>41</v>
      </c>
      <c r="C12" s="5"/>
      <c r="D12" s="5"/>
      <c r="E12" s="5"/>
      <c r="F12" s="5"/>
      <c r="G12" s="12" t="s">
        <v>54</v>
      </c>
      <c r="H12" s="18" t="s">
        <v>57</v>
      </c>
    </row>
    <row r="13" spans="1:24" hidden="1" x14ac:dyDescent="0.25">
      <c r="B13" s="5" t="s">
        <v>20</v>
      </c>
      <c r="C13" s="5"/>
      <c r="D13" s="5"/>
      <c r="E13" s="5"/>
      <c r="F13" s="5"/>
      <c r="G13" s="12" t="s">
        <v>55</v>
      </c>
      <c r="H13" s="18" t="s">
        <v>58</v>
      </c>
    </row>
    <row r="14" spans="1:24" hidden="1" x14ac:dyDescent="0.25">
      <c r="B14" s="5" t="s">
        <v>21</v>
      </c>
      <c r="C14" s="5"/>
      <c r="D14" s="5"/>
      <c r="E14" s="5"/>
      <c r="F14" s="5" t="s">
        <v>42</v>
      </c>
    </row>
    <row r="15" spans="1:24" hidden="1" x14ac:dyDescent="0.25">
      <c r="B15" s="5" t="s">
        <v>22</v>
      </c>
      <c r="C15" s="5"/>
      <c r="D15" s="5"/>
      <c r="E15" s="5"/>
      <c r="F15" s="5" t="s">
        <v>51</v>
      </c>
      <c r="G15" s="12" t="s">
        <v>60</v>
      </c>
    </row>
    <row r="16" spans="1:24" hidden="1" x14ac:dyDescent="0.25"/>
    <row r="17" spans="2:6" hidden="1" x14ac:dyDescent="0.25">
      <c r="B17" s="1" t="s">
        <v>28</v>
      </c>
      <c r="C17" s="1" t="s">
        <v>29</v>
      </c>
      <c r="D17" s="1" t="s">
        <v>31</v>
      </c>
      <c r="E17" s="1" t="s">
        <v>30</v>
      </c>
      <c r="F17" s="1" t="s">
        <v>9</v>
      </c>
    </row>
    <row r="18" spans="2:6" hidden="1" x14ac:dyDescent="0.25">
      <c r="B18" s="5" t="s">
        <v>26</v>
      </c>
      <c r="C18" s="5"/>
      <c r="D18" s="5"/>
      <c r="E18" s="13"/>
      <c r="F18" s="5"/>
    </row>
    <row r="19" spans="2:6" hidden="1" x14ac:dyDescent="0.25">
      <c r="B19" s="5" t="s">
        <v>27</v>
      </c>
      <c r="C19" s="5"/>
      <c r="D19" s="5"/>
      <c r="E19" s="13"/>
      <c r="F19" s="5"/>
    </row>
    <row r="20" spans="2:6" hidden="1" x14ac:dyDescent="0.25">
      <c r="B20" s="5" t="s">
        <v>61</v>
      </c>
      <c r="C20" s="5"/>
      <c r="D20" s="5"/>
      <c r="E20" s="13"/>
      <c r="F20" s="5"/>
    </row>
    <row r="21" spans="2:6" hidden="1" x14ac:dyDescent="0.25">
      <c r="B21" s="5" t="s">
        <v>33</v>
      </c>
      <c r="C21" s="179" t="s">
        <v>37</v>
      </c>
      <c r="D21" s="180"/>
      <c r="E21" s="180"/>
      <c r="F21" s="5"/>
    </row>
    <row r="22" spans="2:6" hidden="1" x14ac:dyDescent="0.25">
      <c r="B22" s="5" t="s">
        <v>32</v>
      </c>
      <c r="C22" s="179" t="s">
        <v>39</v>
      </c>
      <c r="D22" s="180"/>
      <c r="E22" s="180"/>
      <c r="F22" s="5"/>
    </row>
    <row r="23" spans="2:6" hidden="1" x14ac:dyDescent="0.25">
      <c r="B23" s="5" t="s">
        <v>44</v>
      </c>
      <c r="C23" s="179" t="s">
        <v>39</v>
      </c>
      <c r="D23" s="180"/>
      <c r="E23" s="180"/>
      <c r="F23" s="5"/>
    </row>
    <row r="24" spans="2:6" hidden="1" x14ac:dyDescent="0.25">
      <c r="B24" s="5" t="s">
        <v>45</v>
      </c>
      <c r="C24" s="179" t="s">
        <v>39</v>
      </c>
      <c r="D24" s="180"/>
      <c r="E24" s="180"/>
      <c r="F24" s="5"/>
    </row>
    <row r="25" spans="2:6" hidden="1" x14ac:dyDescent="0.25">
      <c r="B25" s="5" t="s">
        <v>38</v>
      </c>
      <c r="C25" s="179" t="s">
        <v>40</v>
      </c>
      <c r="D25" s="180"/>
      <c r="E25" s="180"/>
      <c r="F25" s="5"/>
    </row>
    <row r="26" spans="2:6" hidden="1" x14ac:dyDescent="0.25">
      <c r="B26" s="14" t="s">
        <v>43</v>
      </c>
      <c r="C26" s="178" t="s">
        <v>50</v>
      </c>
      <c r="D26" s="178"/>
      <c r="E26" s="178"/>
      <c r="F26" s="5"/>
    </row>
    <row r="27" spans="2:6" hidden="1" x14ac:dyDescent="0.25">
      <c r="B27" s="5" t="s">
        <v>46</v>
      </c>
      <c r="C27" s="178" t="s">
        <v>50</v>
      </c>
      <c r="D27" s="178"/>
      <c r="E27" s="178"/>
      <c r="F27" s="5"/>
    </row>
    <row r="28" spans="2:6" ht="34.5" hidden="1" customHeight="1" x14ac:dyDescent="0.25">
      <c r="B28" s="17" t="s">
        <v>47</v>
      </c>
      <c r="C28" s="178" t="s">
        <v>50</v>
      </c>
      <c r="D28" s="178"/>
      <c r="E28" s="178"/>
      <c r="F28" s="5"/>
    </row>
    <row r="29" spans="2:6" ht="33" hidden="1" x14ac:dyDescent="0.25">
      <c r="B29" s="17" t="s">
        <v>48</v>
      </c>
      <c r="C29" s="178" t="s">
        <v>50</v>
      </c>
      <c r="D29" s="178"/>
      <c r="E29" s="178"/>
      <c r="F29" s="5"/>
    </row>
    <row r="30" spans="2:6" ht="33" hidden="1" x14ac:dyDescent="0.25">
      <c r="B30" s="17" t="s">
        <v>49</v>
      </c>
      <c r="C30" s="178" t="s">
        <v>50</v>
      </c>
      <c r="D30" s="178"/>
      <c r="E30" s="178"/>
      <c r="F30" s="5"/>
    </row>
    <row r="31" spans="2:6" hidden="1" x14ac:dyDescent="0.25"/>
    <row r="32" spans="2:6" hidden="1" x14ac:dyDescent="0.25"/>
    <row r="33" hidden="1" x14ac:dyDescent="0.25"/>
    <row r="34" hidden="1" x14ac:dyDescent="0.25"/>
    <row r="35" hidden="1" x14ac:dyDescent="0.25"/>
  </sheetData>
  <mergeCells count="10">
    <mergeCell ref="C21:E21"/>
    <mergeCell ref="C22:E22"/>
    <mergeCell ref="C25:E25"/>
    <mergeCell ref="C23:E23"/>
    <mergeCell ref="C24:E24"/>
    <mergeCell ref="C30:E30"/>
    <mergeCell ref="C26:E26"/>
    <mergeCell ref="C27:E27"/>
    <mergeCell ref="C28:E28"/>
    <mergeCell ref="C29:E29"/>
  </mergeCells>
  <phoneticPr fontId="6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H4"/>
  <sheetViews>
    <sheetView workbookViewId="0">
      <selection activeCell="G28" sqref="G28"/>
    </sheetView>
  </sheetViews>
  <sheetFormatPr defaultRowHeight="16.5" x14ac:dyDescent="0.25"/>
  <sheetData>
    <row r="1" spans="1:8" x14ac:dyDescent="0.25">
      <c r="A1">
        <v>25</v>
      </c>
      <c r="B1" t="s">
        <v>185</v>
      </c>
      <c r="C1" t="s">
        <v>180</v>
      </c>
      <c r="D1" t="s">
        <v>181</v>
      </c>
      <c r="E1" t="s">
        <v>182</v>
      </c>
      <c r="F1" t="s">
        <v>183</v>
      </c>
      <c r="G1">
        <v>1</v>
      </c>
      <c r="H1" t="s">
        <v>427</v>
      </c>
    </row>
    <row r="2" spans="1:8" x14ac:dyDescent="0.25">
      <c r="A2">
        <v>5</v>
      </c>
      <c r="B2">
        <f>C2-A2</f>
        <v>10</v>
      </c>
      <c r="C2">
        <v>15</v>
      </c>
      <c r="D2">
        <f>B2</f>
        <v>10</v>
      </c>
    </row>
    <row r="3" spans="1:8" x14ac:dyDescent="0.25">
      <c r="A3">
        <v>8</v>
      </c>
      <c r="B3">
        <f t="shared" ref="B3:B4" si="0">C3-A3</f>
        <v>16</v>
      </c>
      <c r="C3">
        <v>24</v>
      </c>
      <c r="D3">
        <f t="shared" ref="D3:D4" si="1">B3</f>
        <v>16</v>
      </c>
    </row>
    <row r="4" spans="1:8" x14ac:dyDescent="0.25">
      <c r="A4">
        <v>10</v>
      </c>
      <c r="B4">
        <f t="shared" si="0"/>
        <v>25</v>
      </c>
      <c r="C4">
        <v>35</v>
      </c>
      <c r="D4">
        <f t="shared" si="1"/>
        <v>25</v>
      </c>
    </row>
  </sheetData>
  <phoneticPr fontId="6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9"/>
  </sheetPr>
  <dimension ref="A1:B2"/>
  <sheetViews>
    <sheetView workbookViewId="0"/>
  </sheetViews>
  <sheetFormatPr defaultRowHeight="16.5" x14ac:dyDescent="0.25"/>
  <cols>
    <col min="1" max="1" width="21.75" customWidth="1"/>
  </cols>
  <sheetData>
    <row r="1" spans="1:2" x14ac:dyDescent="0.25">
      <c r="A1" s="143" t="s">
        <v>417</v>
      </c>
      <c r="B1">
        <v>210</v>
      </c>
    </row>
    <row r="2" spans="1:2" x14ac:dyDescent="0.25">
      <c r="A2" s="143" t="s">
        <v>418</v>
      </c>
      <c r="B2">
        <v>1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10"/>
    <pageSetUpPr fitToPage="1"/>
  </sheetPr>
  <dimension ref="A1:P69"/>
  <sheetViews>
    <sheetView tabSelected="1" view="pageBreakPreview" zoomScale="71" zoomScaleNormal="100" zoomScaleSheetLayoutView="71" workbookViewId="0">
      <selection activeCell="N10" sqref="N10"/>
    </sheetView>
  </sheetViews>
  <sheetFormatPr defaultColWidth="8.875" defaultRowHeight="19.899999999999999" customHeight="1" x14ac:dyDescent="0.25"/>
  <cols>
    <col min="1" max="1" width="14.75" style="85" customWidth="1"/>
    <col min="2" max="2" width="15.75" style="85" customWidth="1"/>
    <col min="3" max="3" width="13.75" style="85" customWidth="1"/>
    <col min="4" max="4" width="14.75" style="85" customWidth="1"/>
    <col min="5" max="5" width="11.75" style="85" customWidth="1"/>
    <col min="6" max="6" width="10.75" style="85" customWidth="1"/>
    <col min="7" max="7" width="18.75" style="85" customWidth="1"/>
    <col min="8" max="9" width="20.75" style="85" customWidth="1"/>
    <col min="10" max="10" width="5.75" style="85" customWidth="1"/>
    <col min="11" max="11" width="17.75" style="85" customWidth="1"/>
    <col min="12" max="12" width="8.875" style="85"/>
    <col min="13" max="13" width="11.75" style="85" customWidth="1"/>
    <col min="14" max="14" width="13.875" style="85" bestFit="1" customWidth="1"/>
    <col min="15" max="15" width="8.875" style="85"/>
    <col min="16" max="16" width="9" style="85" bestFit="1" customWidth="1"/>
    <col min="17" max="16384" width="8.875" style="85"/>
  </cols>
  <sheetData>
    <row r="1" spans="1:16" ht="34.9" customHeight="1" x14ac:dyDescent="0.6">
      <c r="A1" s="185" t="s">
        <v>424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</row>
    <row r="2" spans="1:16" ht="36.75" customHeight="1" x14ac:dyDescent="0.25">
      <c r="A2" s="82" t="s">
        <v>351</v>
      </c>
      <c r="B2" s="84">
        <f>VLOOKUP($I$3,記事!$A$4:T123,16)</f>
        <v>7</v>
      </c>
    </row>
    <row r="3" spans="1:16" ht="19.899999999999999" customHeight="1" x14ac:dyDescent="0.3">
      <c r="A3" s="87" t="s">
        <v>352</v>
      </c>
      <c r="B3" s="88" t="s">
        <v>353</v>
      </c>
      <c r="C3" s="115" t="str">
        <f>VLOOKUP($I$3,記事!$A$4:T123,2)</f>
        <v>晴</v>
      </c>
      <c r="D3" s="88" t="s">
        <v>354</v>
      </c>
      <c r="E3" s="186" t="str">
        <f>VLOOKUP($I$3,記事!$A$4:T123,3)</f>
        <v>晴</v>
      </c>
      <c r="F3" s="186"/>
      <c r="G3" s="86"/>
      <c r="H3" s="88" t="s">
        <v>390</v>
      </c>
      <c r="I3" s="187">
        <f t="shared" ref="I3" si="0">N7+P8</f>
        <v>45809</v>
      </c>
      <c r="J3" s="187"/>
      <c r="K3" s="89">
        <f>I3</f>
        <v>45809</v>
      </c>
    </row>
    <row r="4" spans="1:16" ht="19.899999999999999" customHeight="1" x14ac:dyDescent="0.3">
      <c r="A4" s="163" t="s">
        <v>166</v>
      </c>
      <c r="B4" s="188" t="str">
        <f>基本資料!H1</f>
        <v>後埔國小113年度充實設施設備-改善校園環境工程</v>
      </c>
      <c r="C4" s="188"/>
      <c r="D4" s="188"/>
      <c r="E4" s="188"/>
      <c r="F4" s="188"/>
      <c r="G4" s="188"/>
      <c r="H4" s="163" t="s">
        <v>391</v>
      </c>
      <c r="I4" s="188" t="str">
        <f>基本資料!H3</f>
        <v>聖隆營造有限公司</v>
      </c>
      <c r="J4" s="188"/>
      <c r="K4" s="188"/>
    </row>
    <row r="5" spans="1:16" ht="19.899999999999999" customHeight="1" x14ac:dyDescent="0.3">
      <c r="A5" s="163" t="s">
        <v>425</v>
      </c>
      <c r="B5" s="171">
        <f>基本資料!C2</f>
        <v>120</v>
      </c>
      <c r="C5" s="181" t="s">
        <v>332</v>
      </c>
      <c r="D5" s="181"/>
      <c r="E5" s="189">
        <f>VLOOKUP($I$3,記事!$A$4:T123,6)</f>
        <v>7</v>
      </c>
      <c r="F5" s="190"/>
      <c r="G5" s="163" t="s">
        <v>333</v>
      </c>
      <c r="H5" s="171">
        <f>VLOOKUP($I$3,記事!$A$4:T123,7)</f>
        <v>113</v>
      </c>
      <c r="I5" s="163" t="s">
        <v>361</v>
      </c>
      <c r="J5" s="191">
        <f>VLOOKUP($I$3,記事!$A$4:T123,20)</f>
        <v>0</v>
      </c>
      <c r="K5" s="191"/>
    </row>
    <row r="6" spans="1:16" ht="19.899999999999999" customHeight="1" x14ac:dyDescent="0.3">
      <c r="A6" s="181" t="s">
        <v>357</v>
      </c>
      <c r="B6" s="181"/>
      <c r="C6" s="181"/>
      <c r="D6" s="182">
        <v>45803</v>
      </c>
      <c r="E6" s="182"/>
      <c r="F6" s="182"/>
      <c r="G6" s="182"/>
      <c r="H6" s="181" t="s">
        <v>392</v>
      </c>
      <c r="I6" s="181"/>
      <c r="J6" s="182">
        <v>45922</v>
      </c>
      <c r="K6" s="182"/>
    </row>
    <row r="7" spans="1:16" ht="19.899999999999999" customHeight="1" x14ac:dyDescent="0.3">
      <c r="A7" s="181" t="s">
        <v>365</v>
      </c>
      <c r="B7" s="181"/>
      <c r="C7" s="181"/>
      <c r="D7" s="183">
        <f>VLOOKUP($I$3,記事!$A$4:T123,9)</f>
        <v>8.0499999999999999E-3</v>
      </c>
      <c r="E7" s="183"/>
      <c r="F7" s="183"/>
      <c r="G7" s="181" t="s">
        <v>366</v>
      </c>
      <c r="H7" s="181"/>
      <c r="I7" s="184">
        <f>VLOOKUP($I$3,記事!$A$4:T123,18)</f>
        <v>4.4312376763822124E-2</v>
      </c>
      <c r="J7" s="184"/>
      <c r="K7" s="184"/>
      <c r="M7" s="85" t="s">
        <v>367</v>
      </c>
      <c r="N7" s="90">
        <v>45809</v>
      </c>
      <c r="P7" s="85">
        <f>N9-N7</f>
        <v>29</v>
      </c>
    </row>
    <row r="8" spans="1:16" ht="19.899999999999999" customHeight="1" x14ac:dyDescent="0.3">
      <c r="A8" s="197" t="s">
        <v>393</v>
      </c>
      <c r="B8" s="197"/>
      <c r="C8" s="197"/>
      <c r="D8" s="197"/>
      <c r="E8" s="197"/>
      <c r="F8" s="197"/>
      <c r="G8" s="197"/>
      <c r="H8" s="197"/>
      <c r="I8" s="197"/>
      <c r="J8" s="197"/>
      <c r="K8" s="197"/>
      <c r="O8" s="85" t="s">
        <v>369</v>
      </c>
      <c r="P8" s="85">
        <v>0</v>
      </c>
    </row>
    <row r="9" spans="1:16" ht="19.899999999999999" customHeight="1" x14ac:dyDescent="0.3">
      <c r="A9" s="167" t="s">
        <v>371</v>
      </c>
      <c r="B9" s="198" t="s">
        <v>372</v>
      </c>
      <c r="C9" s="199"/>
      <c r="D9" s="199"/>
      <c r="E9" s="200"/>
      <c r="F9" s="167" t="s">
        <v>373</v>
      </c>
      <c r="G9" s="163" t="s">
        <v>374</v>
      </c>
      <c r="H9" s="163" t="s">
        <v>375</v>
      </c>
      <c r="I9" s="163" t="s">
        <v>324</v>
      </c>
      <c r="J9" s="201" t="s">
        <v>376</v>
      </c>
      <c r="K9" s="202"/>
      <c r="M9" s="85" t="s">
        <v>368</v>
      </c>
      <c r="N9" s="91">
        <v>45838</v>
      </c>
    </row>
    <row r="10" spans="1:16" ht="19.899999999999999" customHeight="1" x14ac:dyDescent="0.25">
      <c r="A10" s="128" t="str">
        <f>基本資料!$A$5</f>
        <v>壹</v>
      </c>
      <c r="B10" s="203" t="str">
        <f>基本資料!$B$5</f>
        <v>直接工程</v>
      </c>
      <c r="C10" s="204"/>
      <c r="D10" s="204"/>
      <c r="E10" s="204"/>
      <c r="F10" s="204"/>
      <c r="G10" s="204"/>
      <c r="H10" s="204"/>
      <c r="I10" s="204"/>
      <c r="J10" s="204"/>
      <c r="K10" s="205"/>
    </row>
    <row r="11" spans="1:16" ht="19.899999999999999" customHeight="1" x14ac:dyDescent="0.25">
      <c r="A11" s="168" t="str">
        <f>基本資料!$A$6</f>
        <v>一</v>
      </c>
      <c r="B11" s="206" t="str">
        <f>基本資料!$B$6</f>
        <v>假設工程</v>
      </c>
      <c r="C11" s="207"/>
      <c r="D11" s="207"/>
      <c r="E11" s="207"/>
      <c r="F11" s="239"/>
      <c r="G11" s="239"/>
      <c r="H11" s="239"/>
      <c r="I11" s="239"/>
      <c r="J11" s="239"/>
      <c r="K11" s="240"/>
    </row>
    <row r="12" spans="1:16" ht="19.899999999999999" customHeight="1" x14ac:dyDescent="0.25">
      <c r="A12" s="168">
        <f>基本資料!$A$7</f>
        <v>1</v>
      </c>
      <c r="B12" s="192" t="str">
        <f>基本資料!$B$7</f>
        <v>乙種安全圍籬與三角錐連桿警示燈(租用)</v>
      </c>
      <c r="C12" s="193"/>
      <c r="D12" s="193"/>
      <c r="E12" s="194"/>
      <c r="F12" s="128" t="str">
        <f>基本資料!$C$7</f>
        <v>式</v>
      </c>
      <c r="G12" s="169">
        <f>基本資料!$D$7</f>
        <v>1</v>
      </c>
      <c r="H12" s="170">
        <f>VLOOKUP($K$3,'No1'!$A$8:$R$128,4)</f>
        <v>0</v>
      </c>
      <c r="I12" s="170">
        <f>VLOOKUP($K$3,'No1'!$A$8:$R$128,10)</f>
        <v>1</v>
      </c>
      <c r="J12" s="195"/>
      <c r="K12" s="196"/>
    </row>
    <row r="13" spans="1:16" ht="19.899999999999999" customHeight="1" x14ac:dyDescent="0.25">
      <c r="A13" s="168">
        <f>基本資料!$A$8</f>
        <v>2</v>
      </c>
      <c r="B13" s="192" t="str">
        <f>基本資料!$B$8</f>
        <v>工程告示牌與職安告示牌(租用)</v>
      </c>
      <c r="C13" s="193"/>
      <c r="D13" s="193"/>
      <c r="E13" s="194"/>
      <c r="F13" s="128" t="str">
        <f>基本資料!$C$8</f>
        <v>式</v>
      </c>
      <c r="G13" s="169">
        <f>基本資料!$D$8</f>
        <v>1</v>
      </c>
      <c r="H13" s="170">
        <f>VLOOKUP($K$3,'No1'!$A$8:$R$128,5)</f>
        <v>0</v>
      </c>
      <c r="I13" s="170">
        <f>VLOOKUP($K$3,'No1'!$A$8:$R$128,11)</f>
        <v>1</v>
      </c>
      <c r="J13" s="195"/>
      <c r="K13" s="196"/>
    </row>
    <row r="14" spans="1:16" ht="19.899999999999999" customHeight="1" x14ac:dyDescent="0.25">
      <c r="A14" s="168">
        <f>基本資料!$A$9</f>
        <v>3</v>
      </c>
      <c r="B14" s="192" t="str">
        <f>基本資料!$B$9</f>
        <v>場地放樣及測量</v>
      </c>
      <c r="C14" s="193"/>
      <c r="D14" s="193"/>
      <c r="E14" s="194"/>
      <c r="F14" s="128" t="str">
        <f>基本資料!$C$9</f>
        <v>式</v>
      </c>
      <c r="G14" s="169">
        <f>基本資料!$D$9</f>
        <v>1</v>
      </c>
      <c r="H14" s="170">
        <f>VLOOKUP($K$3,'No1'!$A$8:$R$128,6)</f>
        <v>0.5</v>
      </c>
      <c r="I14" s="170">
        <f>VLOOKUP($K$3,'No1'!$A$8:$R$128,12)</f>
        <v>0.5</v>
      </c>
      <c r="J14" s="195"/>
      <c r="K14" s="196"/>
    </row>
    <row r="15" spans="1:16" ht="34.15" customHeight="1" x14ac:dyDescent="0.25">
      <c r="A15" s="168">
        <f>基本資料!$A$10</f>
        <v>4</v>
      </c>
      <c r="B15" s="192" t="str">
        <f>基本資料!$B$10</f>
        <v>既有設施及設備損壞復原與配合遷移與清運(含廢棄物清運證明)</v>
      </c>
      <c r="C15" s="193"/>
      <c r="D15" s="193"/>
      <c r="E15" s="194"/>
      <c r="F15" s="128" t="str">
        <f>基本資料!$C$10</f>
        <v>式</v>
      </c>
      <c r="G15" s="169">
        <f>基本資料!$D$10</f>
        <v>1</v>
      </c>
      <c r="H15" s="170">
        <f>VLOOKUP($K$3,'No1'!$A$8:$R$128,7)</f>
        <v>0</v>
      </c>
      <c r="I15" s="170">
        <f>VLOOKUP($K$3,'No1'!$A$8:$R$128,13)</f>
        <v>0</v>
      </c>
      <c r="J15" s="195"/>
      <c r="K15" s="196"/>
    </row>
    <row r="16" spans="1:16" ht="19.899999999999999" customHeight="1" x14ac:dyDescent="0.25">
      <c r="A16" s="168" t="str">
        <f>基本資料!$A$11</f>
        <v>二</v>
      </c>
      <c r="B16" s="206" t="str">
        <f>基本資料!$B$11</f>
        <v>排水溝整建工程</v>
      </c>
      <c r="C16" s="207"/>
      <c r="D16" s="207"/>
      <c r="E16" s="207"/>
      <c r="F16" s="207"/>
      <c r="G16" s="208"/>
      <c r="H16" s="209"/>
      <c r="I16" s="209"/>
      <c r="J16" s="207"/>
      <c r="K16" s="210"/>
    </row>
    <row r="17" spans="1:11" ht="34.15" customHeight="1" x14ac:dyDescent="0.25">
      <c r="A17" s="168">
        <f>基本資料!$A$12</f>
        <v>1</v>
      </c>
      <c r="B17" s="192" t="str">
        <f>基本資料!$B$12</f>
        <v>西側排水溝打除及清運；開挖水溝施作位置；既有水溝清淤</v>
      </c>
      <c r="C17" s="193"/>
      <c r="D17" s="193"/>
      <c r="E17" s="194"/>
      <c r="F17" s="128" t="str">
        <f>基本資料!$C$12</f>
        <v>式</v>
      </c>
      <c r="G17" s="169">
        <f>基本資料!$D$12</f>
        <v>1</v>
      </c>
      <c r="H17" s="170">
        <f>VLOOKUP($K$3,'No2'!$A$8:$AA$128,3)</f>
        <v>0</v>
      </c>
      <c r="I17" s="170">
        <f>VLOOKUP($K$3,'No2'!$A$8:$AA$128,12)</f>
        <v>0.6</v>
      </c>
      <c r="J17" s="195"/>
      <c r="K17" s="196"/>
    </row>
    <row r="18" spans="1:11" ht="34.15" customHeight="1" x14ac:dyDescent="0.25">
      <c r="A18" s="168">
        <f>基本資料!$A$13</f>
        <v>2</v>
      </c>
      <c r="B18" s="192" t="str">
        <f>基本資料!$B$13</f>
        <v>東側排水溝打除及清運；開挖水溝施作位置；既有水溝清淤</v>
      </c>
      <c r="C18" s="193"/>
      <c r="D18" s="193"/>
      <c r="E18" s="194"/>
      <c r="F18" s="128" t="str">
        <f>基本資料!$C$13</f>
        <v>式</v>
      </c>
      <c r="G18" s="169">
        <f>基本資料!$D$13</f>
        <v>1</v>
      </c>
      <c r="H18" s="170">
        <f>VLOOKUP($K$3,'No2'!$A$8:$AA$128,4)</f>
        <v>0</v>
      </c>
      <c r="I18" s="170">
        <f>VLOOKUP($K$3,'No2'!$A$8:$AA$128,13)</f>
        <v>0.6</v>
      </c>
      <c r="J18" s="195"/>
      <c r="K18" s="196"/>
    </row>
    <row r="19" spans="1:11" ht="67.900000000000006" customHeight="1" x14ac:dyDescent="0.25">
      <c r="A19" s="168">
        <f>基本資料!$A$14</f>
        <v>3</v>
      </c>
      <c r="B19" s="192" t="str">
        <f>基本資料!$B$14</f>
        <v>新作西側排水溝；設置鍍鋅鋼材止滑細縫水溝蓋及鍍鋅花紋鋼板；溝體破損處修補及調整溝底洩水坡度；切割挖除清運既有跑道面層與基礎，設置RC地坪，面層抿石子</v>
      </c>
      <c r="C19" s="193"/>
      <c r="D19" s="193"/>
      <c r="E19" s="194"/>
      <c r="F19" s="128" t="str">
        <f>基本資料!$C$14</f>
        <v>式</v>
      </c>
      <c r="G19" s="169">
        <f>基本資料!$D$14</f>
        <v>1</v>
      </c>
      <c r="H19" s="170">
        <f>VLOOKUP($K$3,'No2'!$A$8:$AA$128,5)</f>
        <v>0</v>
      </c>
      <c r="I19" s="170">
        <f>VLOOKUP($K$3,'No2'!$A$8:$AA$128,14)</f>
        <v>0</v>
      </c>
      <c r="J19" s="195"/>
      <c r="K19" s="196"/>
    </row>
    <row r="20" spans="1:11" ht="34.15" customHeight="1" x14ac:dyDescent="0.25">
      <c r="A20" s="168">
        <f>基本資料!$A$15</f>
        <v>4</v>
      </c>
      <c r="B20" s="192" t="str">
        <f>基本資料!$B$15</f>
        <v>新作東側排水溝；設置化妝蓋板及鍍鋅花紋鋼板；溝體破損處修補及調整溝底洩水坡度</v>
      </c>
      <c r="C20" s="193"/>
      <c r="D20" s="193"/>
      <c r="E20" s="194"/>
      <c r="F20" s="128" t="str">
        <f>基本資料!$C$15</f>
        <v>式</v>
      </c>
      <c r="G20" s="169">
        <f>基本資料!$D$15</f>
        <v>1</v>
      </c>
      <c r="H20" s="170">
        <f>VLOOKUP($K$3,'No2'!$A$8:$AA$128,6)</f>
        <v>0</v>
      </c>
      <c r="I20" s="170">
        <f>VLOOKUP($K$3,'No2'!$A$8:$AA$128,15)</f>
        <v>0</v>
      </c>
      <c r="J20" s="195"/>
      <c r="K20" s="196"/>
    </row>
    <row r="21" spans="1:11" ht="19.899999999999999" customHeight="1" x14ac:dyDescent="0.25">
      <c r="A21" s="168">
        <f>基本資料!$A$16</f>
        <v>5</v>
      </c>
      <c r="B21" s="192" t="str">
        <f>基本資料!$B$16</f>
        <v>新作陰井(含陰井蓋)及涵管</v>
      </c>
      <c r="C21" s="193"/>
      <c r="D21" s="193"/>
      <c r="E21" s="194"/>
      <c r="F21" s="128" t="str">
        <f>基本資料!$C$16</f>
        <v>式</v>
      </c>
      <c r="G21" s="169">
        <f>基本資料!$D$16</f>
        <v>1</v>
      </c>
      <c r="H21" s="170">
        <f>VLOOKUP($K$3,'No2'!$A$8:$AA$128,7)</f>
        <v>0</v>
      </c>
      <c r="I21" s="170">
        <f>VLOOKUP($K$3,'No2'!$A$8:$AA$128,16)</f>
        <v>0</v>
      </c>
      <c r="J21" s="195"/>
      <c r="K21" s="196"/>
    </row>
    <row r="22" spans="1:11" ht="19.899999999999999" customHeight="1" x14ac:dyDescent="0.25">
      <c r="A22" s="168">
        <f>基本資料!$A$17</f>
        <v>6</v>
      </c>
      <c r="B22" s="192" t="str">
        <f>基本資料!$B$17</f>
        <v>抽水馬達與浮球開關(含線路接引與專用開關箱)</v>
      </c>
      <c r="C22" s="193"/>
      <c r="D22" s="193"/>
      <c r="E22" s="194"/>
      <c r="F22" s="128" t="str">
        <f>基本資料!$C$17</f>
        <v>組</v>
      </c>
      <c r="G22" s="169">
        <f>基本資料!$D$17</f>
        <v>2</v>
      </c>
      <c r="H22" s="170">
        <f>VLOOKUP($K$3,'No2'!$A$8:$AA$128,8)</f>
        <v>0</v>
      </c>
      <c r="I22" s="170">
        <f>VLOOKUP($K$3,'No2'!$A$8:$AA$128,17)</f>
        <v>0</v>
      </c>
      <c r="J22" s="195"/>
      <c r="K22" s="196"/>
    </row>
    <row r="23" spans="1:11" ht="19.899999999999999" customHeight="1" x14ac:dyDescent="0.25">
      <c r="A23" s="168">
        <f>基本資料!$A$18</f>
        <v>7</v>
      </c>
      <c r="B23" s="192" t="str">
        <f>基本資料!$B$18</f>
        <v>原有地坪連鎖磚拆除及重鋪；表面以高壓水槍清潔</v>
      </c>
      <c r="C23" s="193"/>
      <c r="D23" s="193"/>
      <c r="E23" s="194"/>
      <c r="F23" s="128" t="str">
        <f>基本資料!$C$18</f>
        <v>M2</v>
      </c>
      <c r="G23" s="169">
        <f>基本資料!$D$18</f>
        <v>547</v>
      </c>
      <c r="H23" s="170">
        <f>VLOOKUP($K$3,'No2'!$A$8:$AA$128,9)</f>
        <v>0</v>
      </c>
      <c r="I23" s="170">
        <f>VLOOKUP($K$3,'No2'!$A$8:$AA$128,18)</f>
        <v>0</v>
      </c>
      <c r="J23" s="195"/>
      <c r="K23" s="196"/>
    </row>
    <row r="24" spans="1:11" ht="19.899999999999999" customHeight="1" x14ac:dyDescent="0.25">
      <c r="A24" s="168">
        <f>基本資料!$A$19</f>
        <v>8</v>
      </c>
      <c r="B24" s="192" t="str">
        <f>基本資料!$B$19</f>
        <v>原有喬木移除及運棄；移植水溝施工位置喬木</v>
      </c>
      <c r="C24" s="193"/>
      <c r="D24" s="193"/>
      <c r="E24" s="194"/>
      <c r="F24" s="128" t="str">
        <f>基本資料!$C$19</f>
        <v>式</v>
      </c>
      <c r="G24" s="169">
        <f>基本資料!$D$19</f>
        <v>1</v>
      </c>
      <c r="H24" s="170">
        <f>VLOOKUP($K$3,'No2'!$A$8:$AA$128,10)</f>
        <v>0</v>
      </c>
      <c r="I24" s="170">
        <f>VLOOKUP($K$3,'No2'!$A$8:$AA$128,19)</f>
        <v>0</v>
      </c>
      <c r="J24" s="195"/>
      <c r="K24" s="196"/>
    </row>
    <row r="25" spans="1:11" ht="19.899999999999999" customHeight="1" x14ac:dyDescent="0.25">
      <c r="A25" s="168" t="str">
        <f>基本資料!$A$20</f>
        <v>三</v>
      </c>
      <c r="B25" s="206" t="str">
        <f>基本資料!$B$20</f>
        <v>洗手台整建工程</v>
      </c>
      <c r="C25" s="207"/>
      <c r="D25" s="207"/>
      <c r="E25" s="207"/>
      <c r="F25" s="207"/>
      <c r="G25" s="208"/>
      <c r="H25" s="209"/>
      <c r="I25" s="209"/>
      <c r="J25" s="207"/>
      <c r="K25" s="210"/>
    </row>
    <row r="26" spans="1:11" ht="19.899999999999999" customHeight="1" x14ac:dyDescent="0.25">
      <c r="A26" s="168">
        <f>基本資料!$A$21</f>
        <v>1</v>
      </c>
      <c r="B26" s="192" t="str">
        <f>基本資料!$B$21</f>
        <v>既有洗手台拆除及運棄；2F既有洗手台拉皮</v>
      </c>
      <c r="C26" s="193"/>
      <c r="D26" s="193"/>
      <c r="E26" s="194"/>
      <c r="F26" s="128" t="str">
        <f>基本資料!$C$21</f>
        <v>式</v>
      </c>
      <c r="G26" s="169">
        <f>基本資料!$D$21</f>
        <v>1</v>
      </c>
      <c r="H26" s="170">
        <f>VLOOKUP($K$3,'No3'!$A$8:$AG$128,3)</f>
        <v>0</v>
      </c>
      <c r="I26" s="170">
        <f>VLOOKUP($K$3,'No3'!$A$8:$AG$128,14)</f>
        <v>0</v>
      </c>
      <c r="J26" s="195"/>
      <c r="K26" s="196"/>
    </row>
    <row r="27" spans="1:11" ht="19.899999999999999" customHeight="1" x14ac:dyDescent="0.25">
      <c r="A27" s="168">
        <f>基本資料!$A$22</f>
        <v>2</v>
      </c>
      <c r="B27" s="192" t="str">
        <f>基本資料!$B$22</f>
        <v>素地清潔整理</v>
      </c>
      <c r="C27" s="193"/>
      <c r="D27" s="193"/>
      <c r="E27" s="194"/>
      <c r="F27" s="128" t="str">
        <f>基本資料!$C$22</f>
        <v>座</v>
      </c>
      <c r="G27" s="169">
        <f>基本資料!$D$22</f>
        <v>10</v>
      </c>
      <c r="H27" s="170">
        <f>VLOOKUP($K$3,'No3'!$A$8:$AG$128,4)</f>
        <v>0</v>
      </c>
      <c r="I27" s="170">
        <f>VLOOKUP($K$3,'No3'!$A$8:$AG$128,15)</f>
        <v>0</v>
      </c>
      <c r="J27" s="195"/>
      <c r="K27" s="196"/>
    </row>
    <row r="28" spans="1:11" ht="19.899999999999999" customHeight="1" x14ac:dyDescent="0.25">
      <c r="A28" s="168">
        <f>基本資料!$A$23</f>
        <v>3</v>
      </c>
      <c r="B28" s="192" t="str">
        <f>基本資料!$B$23</f>
        <v>新作洗手台</v>
      </c>
      <c r="C28" s="193"/>
      <c r="D28" s="193"/>
      <c r="E28" s="194"/>
      <c r="F28" s="128" t="str">
        <f>基本資料!$C$23</f>
        <v>座</v>
      </c>
      <c r="G28" s="169">
        <f>基本資料!$D$23</f>
        <v>10</v>
      </c>
      <c r="H28" s="170">
        <f>VLOOKUP($K$3,'No3'!$A$8:$AG$128,5)</f>
        <v>0</v>
      </c>
      <c r="I28" s="170">
        <f>VLOOKUP($K$3,'No3'!$A$8:$AG$128,16)</f>
        <v>0</v>
      </c>
      <c r="J28" s="195"/>
      <c r="K28" s="196"/>
    </row>
    <row r="29" spans="1:11" ht="19.899999999999999" customHeight="1" x14ac:dyDescent="0.25">
      <c r="A29" s="168">
        <f>基本資料!$A$24</f>
        <v>4</v>
      </c>
      <c r="B29" s="192" t="str">
        <f>基本資料!$B$24</f>
        <v>給排水工程</v>
      </c>
      <c r="C29" s="193"/>
      <c r="D29" s="193"/>
      <c r="E29" s="194"/>
      <c r="F29" s="128" t="str">
        <f>基本資料!$C$24</f>
        <v>式</v>
      </c>
      <c r="G29" s="169">
        <f>基本資料!$D$24</f>
        <v>1</v>
      </c>
      <c r="H29" s="170">
        <f>VLOOKUP($K$3,'No3'!$A$8:$AG$128,6)</f>
        <v>0</v>
      </c>
      <c r="I29" s="170">
        <f>VLOOKUP($K$3,'No3'!$A$8:$AG$128,17)</f>
        <v>0</v>
      </c>
      <c r="J29" s="195"/>
      <c r="K29" s="196"/>
    </row>
    <row r="30" spans="1:11" ht="19.899999999999999" customHeight="1" x14ac:dyDescent="0.25">
      <c r="A30" s="168">
        <f>基本資料!$A$25</f>
        <v>5</v>
      </c>
      <c r="B30" s="192" t="str">
        <f>基本資料!$B$25</f>
        <v>周邊改善修復</v>
      </c>
      <c r="C30" s="193"/>
      <c r="D30" s="193"/>
      <c r="E30" s="194"/>
      <c r="F30" s="128" t="str">
        <f>基本資料!$C$25</f>
        <v>式</v>
      </c>
      <c r="G30" s="169">
        <f>基本資料!$D$25</f>
        <v>1</v>
      </c>
      <c r="H30" s="170">
        <f>VLOOKUP($K$3,'No3'!$A$8:$AG$128,7)</f>
        <v>0</v>
      </c>
      <c r="I30" s="170">
        <f>VLOOKUP($K$3,'No3'!$A$8:$AG$128,18)</f>
        <v>0</v>
      </c>
      <c r="J30" s="195"/>
      <c r="K30" s="196"/>
    </row>
    <row r="31" spans="1:11" ht="19.899999999999999" customHeight="1" x14ac:dyDescent="0.25">
      <c r="A31" s="168" t="str">
        <f>基本資料!$A$26</f>
        <v>貳</v>
      </c>
      <c r="B31" s="192" t="str">
        <f>基本資料!$B$26</f>
        <v>職業安全衛生管理費（壹*1%）</v>
      </c>
      <c r="C31" s="193"/>
      <c r="D31" s="193"/>
      <c r="E31" s="194"/>
      <c r="F31" s="128" t="str">
        <f>基本資料!$C$26</f>
        <v>式</v>
      </c>
      <c r="G31" s="169">
        <f>基本資料!$D$26</f>
        <v>1</v>
      </c>
      <c r="H31" s="170">
        <f>VLOOKUP($K$3,'No3'!$A$8:$AG$128,8)</f>
        <v>0</v>
      </c>
      <c r="I31" s="170">
        <f>VLOOKUP($K$3,'No3'!$A$8:$AG$128,19)</f>
        <v>0</v>
      </c>
      <c r="J31" s="195"/>
      <c r="K31" s="196"/>
    </row>
    <row r="32" spans="1:11" ht="19.899999999999999" customHeight="1" x14ac:dyDescent="0.25">
      <c r="A32" s="168" t="str">
        <f>基本資料!$A$27</f>
        <v>參</v>
      </c>
      <c r="B32" s="192" t="str">
        <f>基本資料!$B$27</f>
        <v>公共工程品質管制作業費（壹*1%）</v>
      </c>
      <c r="C32" s="193"/>
      <c r="D32" s="193"/>
      <c r="E32" s="194"/>
      <c r="F32" s="128" t="str">
        <f>基本資料!$C$27</f>
        <v>式</v>
      </c>
      <c r="G32" s="169">
        <f>基本資料!$D$27</f>
        <v>1</v>
      </c>
      <c r="H32" s="170">
        <f>VLOOKUP($K$3,'No3'!$A$8:$AG$128,9)</f>
        <v>0</v>
      </c>
      <c r="I32" s="170">
        <f>VLOOKUP($K$3,'No3'!$A$8:$AG$128,20)</f>
        <v>0</v>
      </c>
      <c r="J32" s="195"/>
      <c r="K32" s="196"/>
    </row>
    <row r="33" spans="1:11" ht="19.899999999999999" customHeight="1" x14ac:dyDescent="0.25">
      <c r="A33" s="168" t="str">
        <f>基本資料!$A$28</f>
        <v>肆</v>
      </c>
      <c r="B33" s="192" t="str">
        <f>基本資料!$B$28</f>
        <v>包商管理及利潤費（約壹*7%）</v>
      </c>
      <c r="C33" s="193"/>
      <c r="D33" s="193"/>
      <c r="E33" s="194"/>
      <c r="F33" s="128" t="str">
        <f>基本資料!$C$28</f>
        <v>式</v>
      </c>
      <c r="G33" s="169">
        <f>基本資料!$D$28</f>
        <v>1</v>
      </c>
      <c r="H33" s="170">
        <f>VLOOKUP($K$3,'No3'!$A$8:$AG$128,10)</f>
        <v>0</v>
      </c>
      <c r="I33" s="170">
        <f>VLOOKUP($K$3,'No3'!$A$8:$AG$128,21)</f>
        <v>0</v>
      </c>
      <c r="J33" s="195"/>
      <c r="K33" s="196"/>
    </row>
    <row r="34" spans="1:11" ht="19.899999999999999" customHeight="1" x14ac:dyDescent="0.25">
      <c r="A34" s="168" t="str">
        <f>基本資料!$A$29</f>
        <v>伍</v>
      </c>
      <c r="B34" s="192" t="str">
        <f>基本資料!$B$29</f>
        <v>保險費</v>
      </c>
      <c r="C34" s="193"/>
      <c r="D34" s="193"/>
      <c r="E34" s="194"/>
      <c r="F34" s="128" t="str">
        <f>基本資料!$C$29</f>
        <v>式</v>
      </c>
      <c r="G34" s="169">
        <f>基本資料!$D$29</f>
        <v>1</v>
      </c>
      <c r="H34" s="170">
        <f>VLOOKUP($K$3,'No3'!$A$8:$AG$128,11)</f>
        <v>0</v>
      </c>
      <c r="I34" s="170">
        <f>VLOOKUP($K$3,'No3'!$A$8:$AG$128,22)</f>
        <v>0</v>
      </c>
      <c r="J34" s="195"/>
      <c r="K34" s="196"/>
    </row>
    <row r="35" spans="1:11" ht="19.899999999999999" customHeight="1" x14ac:dyDescent="0.25">
      <c r="A35" s="168" t="str">
        <f>基本資料!$A$30</f>
        <v>陸</v>
      </c>
      <c r="B35" s="224" t="str">
        <f>基本資料!$B$30</f>
        <v>營業稅（(壹~伍)*5％）</v>
      </c>
      <c r="C35" s="224"/>
      <c r="D35" s="224"/>
      <c r="E35" s="224"/>
      <c r="F35" s="128" t="str">
        <f>基本資料!$C$30</f>
        <v>式</v>
      </c>
      <c r="G35" s="169">
        <f>基本資料!$D$30</f>
        <v>1</v>
      </c>
      <c r="H35" s="170">
        <f>VLOOKUP($K$3,'No3'!$A$8:$AG$128,12)</f>
        <v>0</v>
      </c>
      <c r="I35" s="170">
        <f>VLOOKUP($K$3,'No3'!$A$8:$AG$128,23)</f>
        <v>0</v>
      </c>
      <c r="J35" s="225"/>
      <c r="K35" s="225"/>
    </row>
    <row r="36" spans="1:11" ht="19.899999999999999" customHeight="1" x14ac:dyDescent="0.3">
      <c r="A36" s="211" t="s">
        <v>394</v>
      </c>
      <c r="B36" s="211"/>
      <c r="C36" s="211"/>
      <c r="D36" s="211"/>
      <c r="E36" s="211"/>
      <c r="F36" s="211"/>
      <c r="G36" s="211"/>
      <c r="H36" s="211"/>
      <c r="I36" s="211"/>
      <c r="J36" s="211"/>
      <c r="K36" s="211"/>
    </row>
    <row r="37" spans="1:11" ht="19.899999999999999" customHeight="1" x14ac:dyDescent="0.25">
      <c r="A37" s="128" t="s">
        <v>371</v>
      </c>
      <c r="B37" s="212" t="s">
        <v>395</v>
      </c>
      <c r="C37" s="213"/>
      <c r="D37" s="213"/>
      <c r="E37" s="214"/>
      <c r="F37" s="128" t="s">
        <v>373</v>
      </c>
      <c r="G37" s="146" t="s">
        <v>374</v>
      </c>
      <c r="H37" s="146" t="s">
        <v>396</v>
      </c>
      <c r="I37" s="146" t="s">
        <v>397</v>
      </c>
      <c r="J37" s="215" t="s">
        <v>376</v>
      </c>
      <c r="K37" s="216"/>
    </row>
    <row r="38" spans="1:11" ht="19.899999999999999" customHeight="1" x14ac:dyDescent="0.25">
      <c r="A38" s="114"/>
      <c r="B38" s="217"/>
      <c r="C38" s="218"/>
      <c r="D38" s="218"/>
      <c r="E38" s="219"/>
      <c r="F38" s="114"/>
      <c r="G38" s="172"/>
      <c r="H38" s="172"/>
      <c r="I38" s="172"/>
      <c r="J38" s="220"/>
      <c r="K38" s="219"/>
    </row>
    <row r="39" spans="1:11" ht="19.899999999999999" customHeight="1" x14ac:dyDescent="0.3">
      <c r="A39" s="221" t="s">
        <v>398</v>
      </c>
      <c r="B39" s="222"/>
      <c r="C39" s="222"/>
      <c r="D39" s="222"/>
      <c r="E39" s="222"/>
      <c r="F39" s="222"/>
      <c r="G39" s="222"/>
      <c r="H39" s="222"/>
      <c r="I39" s="222"/>
      <c r="J39" s="222"/>
      <c r="K39" s="223"/>
    </row>
    <row r="40" spans="1:11" ht="19.899999999999999" customHeight="1" x14ac:dyDescent="0.25">
      <c r="A40" s="173" t="s">
        <v>399</v>
      </c>
      <c r="B40" s="228" t="s">
        <v>400</v>
      </c>
      <c r="C40" s="228"/>
      <c r="D40" s="228" t="s">
        <v>401</v>
      </c>
      <c r="E40" s="228"/>
      <c r="F40" s="227" t="s">
        <v>402</v>
      </c>
      <c r="G40" s="227"/>
      <c r="H40" s="174" t="s">
        <v>396</v>
      </c>
      <c r="I40" s="174" t="s">
        <v>397</v>
      </c>
      <c r="J40" s="228"/>
      <c r="K40" s="228"/>
    </row>
    <row r="41" spans="1:11" ht="19.899999999999999" customHeight="1" x14ac:dyDescent="0.25">
      <c r="A41" s="173" t="str">
        <f>工料!B3</f>
        <v>現場工程師</v>
      </c>
      <c r="B41" s="226">
        <f>VLOOKUP($K$3,工料!$A$5:Y124,2)</f>
        <v>1</v>
      </c>
      <c r="C41" s="226"/>
      <c r="D41" s="226">
        <f>VLOOKUP($K$3,工料!$A$5:Y124,3)</f>
        <v>4</v>
      </c>
      <c r="E41" s="226"/>
      <c r="F41" s="227" t="str">
        <f>工料!N3</f>
        <v>挖土機</v>
      </c>
      <c r="G41" s="227"/>
      <c r="H41" s="176">
        <f>VLOOKUP($K$3,工料!$A$5:Y124,14)</f>
        <v>0</v>
      </c>
      <c r="I41" s="176">
        <f>VLOOKUP($K$3,工料!$A$5:Y124,15)</f>
        <v>0</v>
      </c>
      <c r="J41" s="227"/>
      <c r="K41" s="227"/>
    </row>
    <row r="42" spans="1:11" ht="19.899999999999999" customHeight="1" x14ac:dyDescent="0.25">
      <c r="A42" s="173" t="str">
        <f>工料!D3</f>
        <v>技工</v>
      </c>
      <c r="B42" s="226">
        <f>VLOOKUP($K$3,工料!$A$5:Y124,4)</f>
        <v>2</v>
      </c>
      <c r="C42" s="226"/>
      <c r="D42" s="226">
        <f>VLOOKUP($K$3,工料!$A$5:Y124,5)</f>
        <v>9</v>
      </c>
      <c r="E42" s="226"/>
      <c r="F42" s="227" t="str">
        <f>工料!P3</f>
        <v>卡車</v>
      </c>
      <c r="G42" s="227"/>
      <c r="H42" s="176">
        <f>VLOOKUP($K$3,工料!$A$5:Y124,16)</f>
        <v>0</v>
      </c>
      <c r="I42" s="176">
        <f>VLOOKUP($K$3,工料!$A$5:Y124,17)</f>
        <v>0</v>
      </c>
      <c r="J42" s="227"/>
      <c r="K42" s="227"/>
    </row>
    <row r="43" spans="1:11" ht="19.899999999999999" customHeight="1" x14ac:dyDescent="0.25">
      <c r="A43" s="173" t="str">
        <f>工料!F3</f>
        <v>普通工</v>
      </c>
      <c r="B43" s="226">
        <f>VLOOKUP($K$3,工料!$A$5:Y124,6)</f>
        <v>2</v>
      </c>
      <c r="C43" s="226"/>
      <c r="D43" s="226">
        <f>VLOOKUP($K$3,工料!$A$5:Y124,7)</f>
        <v>8</v>
      </c>
      <c r="E43" s="226"/>
      <c r="F43" s="227" t="str">
        <f>工料!R3</f>
        <v>吊車</v>
      </c>
      <c r="G43" s="227"/>
      <c r="H43" s="176">
        <f>VLOOKUP($K$3,工料!$A$5:Y124,18)</f>
        <v>0</v>
      </c>
      <c r="I43" s="176">
        <f>VLOOKUP($K$3,工料!$A$5:Y124,19)</f>
        <v>0</v>
      </c>
      <c r="J43" s="227"/>
      <c r="K43" s="227"/>
    </row>
    <row r="44" spans="1:11" ht="19.899999999999999" customHeight="1" x14ac:dyDescent="0.25">
      <c r="A44" s="173" t="str">
        <f>工料!H3</f>
        <v>機械操作工</v>
      </c>
      <c r="B44" s="226">
        <f>VLOOKUP($K$3,工料!$A$5:Y124,8)</f>
        <v>0</v>
      </c>
      <c r="C44" s="226"/>
      <c r="D44" s="226">
        <f>VLOOKUP($K$3,工料!$A$5:Y124,9)</f>
        <v>0</v>
      </c>
      <c r="E44" s="226"/>
      <c r="F44" s="227" t="str">
        <f>工料!T3</f>
        <v>預拌車</v>
      </c>
      <c r="G44" s="227"/>
      <c r="H44" s="176">
        <f>VLOOKUP($K$3,工料!$A$5:Y124,20)</f>
        <v>0</v>
      </c>
      <c r="I44" s="176">
        <f>VLOOKUP($K$3,工料!$A$5:Y124,21)</f>
        <v>0</v>
      </c>
      <c r="J44" s="227"/>
      <c r="K44" s="227"/>
    </row>
    <row r="45" spans="1:11" ht="19.899999999999999" customHeight="1" x14ac:dyDescent="0.25">
      <c r="A45" s="173" t="str">
        <f>工料!J3</f>
        <v>體力工</v>
      </c>
      <c r="B45" s="226">
        <f>VLOOKUP($K$3,工料!$A$5:Y124,10)</f>
        <v>1</v>
      </c>
      <c r="C45" s="226"/>
      <c r="D45" s="226">
        <f>VLOOKUP($K$3,工料!$A$5:Y124,11)</f>
        <v>7</v>
      </c>
      <c r="E45" s="226"/>
      <c r="F45" s="227" t="str">
        <f>工料!V3</f>
        <v>灑水車</v>
      </c>
      <c r="G45" s="227"/>
      <c r="H45" s="176">
        <f>VLOOKUP($K$3,工料!$A$5:Y124,22)</f>
        <v>0</v>
      </c>
      <c r="I45" s="176">
        <f>VLOOKUP($K$3,工料!$A$5:Y124,23)</f>
        <v>0</v>
      </c>
      <c r="J45" s="227"/>
      <c r="K45" s="227"/>
    </row>
    <row r="46" spans="1:11" ht="19.899999999999999" customHeight="1" x14ac:dyDescent="0.25">
      <c r="A46" s="173" t="str">
        <f>工料!L3</f>
        <v>其他工</v>
      </c>
      <c r="B46" s="226">
        <f>VLOOKUP($K$3,工料!$A$5:Y124,12)</f>
        <v>1</v>
      </c>
      <c r="C46" s="226"/>
      <c r="D46" s="226">
        <f>VLOOKUP($K$3,工料!$A$5:Y124,13)</f>
        <v>6</v>
      </c>
      <c r="E46" s="226"/>
      <c r="F46" s="227"/>
      <c r="G46" s="227"/>
      <c r="H46" s="176"/>
      <c r="I46" s="176"/>
      <c r="J46" s="227"/>
      <c r="K46" s="227"/>
    </row>
    <row r="47" spans="1:11" ht="19.899999999999999" customHeight="1" x14ac:dyDescent="0.25">
      <c r="A47" s="229" t="s">
        <v>426</v>
      </c>
      <c r="B47" s="230"/>
      <c r="C47" s="230"/>
      <c r="D47" s="230"/>
      <c r="E47" s="230"/>
      <c r="F47" s="230"/>
      <c r="G47" s="230"/>
      <c r="H47" s="230"/>
      <c r="I47" s="230"/>
      <c r="J47" s="230"/>
      <c r="K47" s="231"/>
    </row>
    <row r="48" spans="1:11" ht="19.899999999999999" customHeight="1" x14ac:dyDescent="0.25">
      <c r="A48" s="232"/>
      <c r="B48" s="233"/>
      <c r="C48" s="233"/>
      <c r="D48" s="233"/>
      <c r="E48" s="233"/>
      <c r="F48" s="233"/>
      <c r="G48" s="233"/>
      <c r="H48" s="233"/>
      <c r="I48" s="233"/>
      <c r="J48" s="233"/>
      <c r="K48" s="234"/>
    </row>
    <row r="49" spans="1:11" ht="19.899999999999999" customHeight="1" x14ac:dyDescent="0.25">
      <c r="A49" s="235" t="s">
        <v>403</v>
      </c>
      <c r="B49" s="236"/>
      <c r="C49" s="236"/>
      <c r="D49" s="236"/>
      <c r="E49" s="236"/>
      <c r="F49" s="236"/>
      <c r="G49" s="236"/>
      <c r="H49" s="236"/>
      <c r="I49" s="236"/>
      <c r="J49" s="236"/>
      <c r="K49" s="237"/>
    </row>
    <row r="50" spans="1:11" ht="19.899999999999999" customHeight="1" x14ac:dyDescent="0.25">
      <c r="A50" s="250" t="s">
        <v>404</v>
      </c>
      <c r="B50" s="251"/>
      <c r="C50" s="251"/>
      <c r="D50" s="251"/>
      <c r="E50" s="251"/>
      <c r="F50" s="251"/>
      <c r="G50" s="251"/>
      <c r="H50" s="251"/>
      <c r="I50" s="251"/>
      <c r="J50" s="251"/>
      <c r="K50" s="252"/>
    </row>
    <row r="51" spans="1:11" ht="19.899999999999999" customHeight="1" x14ac:dyDescent="0.25">
      <c r="A51" s="250" t="s">
        <v>473</v>
      </c>
      <c r="B51" s="251"/>
      <c r="C51" s="251"/>
      <c r="D51" s="251"/>
      <c r="E51" s="251"/>
      <c r="F51" s="251"/>
      <c r="G51" s="251"/>
      <c r="H51" s="251"/>
      <c r="I51" s="251"/>
      <c r="J51" s="251"/>
      <c r="K51" s="252"/>
    </row>
    <row r="52" spans="1:11" ht="19.899999999999999" customHeight="1" x14ac:dyDescent="0.25">
      <c r="A52" s="250" t="s">
        <v>475</v>
      </c>
      <c r="B52" s="251"/>
      <c r="C52" s="251"/>
      <c r="D52" s="251"/>
      <c r="E52" s="251"/>
      <c r="F52" s="251"/>
      <c r="G52" s="251"/>
      <c r="H52" s="251"/>
      <c r="I52" s="251"/>
      <c r="J52" s="251"/>
      <c r="K52" s="252"/>
    </row>
    <row r="53" spans="1:11" ht="19.899999999999999" customHeight="1" x14ac:dyDescent="0.25">
      <c r="A53" s="250" t="s">
        <v>474</v>
      </c>
      <c r="B53" s="251"/>
      <c r="C53" s="251"/>
      <c r="D53" s="251"/>
      <c r="E53" s="251"/>
      <c r="F53" s="251"/>
      <c r="G53" s="251"/>
      <c r="H53" s="251"/>
      <c r="I53" s="251"/>
      <c r="J53" s="251"/>
      <c r="K53" s="252"/>
    </row>
    <row r="54" spans="1:11" ht="19.899999999999999" customHeight="1" x14ac:dyDescent="0.25">
      <c r="A54" s="250" t="s">
        <v>405</v>
      </c>
      <c r="B54" s="251"/>
      <c r="C54" s="251"/>
      <c r="D54" s="251"/>
      <c r="E54" s="251"/>
      <c r="F54" s="251"/>
      <c r="G54" s="251"/>
      <c r="H54" s="251"/>
      <c r="I54" s="251"/>
      <c r="J54" s="251"/>
      <c r="K54" s="252"/>
    </row>
    <row r="55" spans="1:11" ht="19.899999999999999" customHeight="1" x14ac:dyDescent="0.25">
      <c r="A55" s="253">
        <f>VLOOKUP($K$3,記事!$A$4:O123,12)</f>
        <v>0</v>
      </c>
      <c r="B55" s="254"/>
      <c r="C55" s="254"/>
      <c r="D55" s="254"/>
      <c r="E55" s="254"/>
      <c r="F55" s="254"/>
      <c r="G55" s="254"/>
      <c r="H55" s="254"/>
      <c r="I55" s="254"/>
      <c r="J55" s="254"/>
      <c r="K55" s="255"/>
    </row>
    <row r="56" spans="1:11" ht="19.899999999999999" customHeight="1" x14ac:dyDescent="0.25">
      <c r="A56" s="244" t="s">
        <v>406</v>
      </c>
      <c r="B56" s="244"/>
      <c r="C56" s="246">
        <f>VLOOKUP($K$3,記事!$A$4:O123,14)</f>
        <v>0</v>
      </c>
      <c r="D56" s="246"/>
      <c r="E56" s="246"/>
      <c r="F56" s="246"/>
      <c r="G56" s="246"/>
      <c r="H56" s="246"/>
      <c r="I56" s="246"/>
      <c r="J56" s="246"/>
      <c r="K56" s="246"/>
    </row>
    <row r="57" spans="1:11" ht="19.899999999999999" customHeight="1" x14ac:dyDescent="0.25">
      <c r="A57" s="244" t="s">
        <v>407</v>
      </c>
      <c r="B57" s="244"/>
      <c r="C57" s="246">
        <f>VLOOKUP($K$3,記事!$A$4:O123,13)</f>
        <v>0</v>
      </c>
      <c r="D57" s="246"/>
      <c r="E57" s="246"/>
      <c r="F57" s="246"/>
      <c r="G57" s="246"/>
      <c r="H57" s="246"/>
      <c r="I57" s="246"/>
      <c r="J57" s="246"/>
      <c r="K57" s="246"/>
    </row>
    <row r="58" spans="1:11" ht="19.899999999999999" customHeight="1" x14ac:dyDescent="0.25">
      <c r="A58" s="235" t="s">
        <v>408</v>
      </c>
      <c r="B58" s="236"/>
      <c r="C58" s="236"/>
      <c r="D58" s="236"/>
      <c r="E58" s="236"/>
      <c r="F58" s="236"/>
      <c r="G58" s="236"/>
      <c r="H58" s="236"/>
      <c r="I58" s="236"/>
      <c r="J58" s="236"/>
      <c r="K58" s="237"/>
    </row>
    <row r="59" spans="1:11" ht="40.15" customHeight="1" x14ac:dyDescent="0.25">
      <c r="A59" s="247" t="str">
        <f>VLOOKUP($K$3,記事!$A$4:O123,4)</f>
        <v>1.場地放樣及測量。</v>
      </c>
      <c r="B59" s="248"/>
      <c r="C59" s="248"/>
      <c r="D59" s="248"/>
      <c r="E59" s="248"/>
      <c r="F59" s="248"/>
      <c r="G59" s="248"/>
      <c r="H59" s="248"/>
      <c r="I59" s="248"/>
      <c r="J59" s="248"/>
      <c r="K59" s="249"/>
    </row>
    <row r="60" spans="1:11" ht="40.15" customHeight="1" x14ac:dyDescent="0.25">
      <c r="A60" s="241">
        <f>VLOOKUP($K$3,記事!$A$4:O123,5)</f>
        <v>0</v>
      </c>
      <c r="B60" s="242"/>
      <c r="C60" s="242"/>
      <c r="D60" s="242"/>
      <c r="E60" s="242"/>
      <c r="F60" s="242"/>
      <c r="G60" s="242"/>
      <c r="H60" s="242"/>
      <c r="I60" s="242"/>
      <c r="J60" s="242"/>
      <c r="K60" s="243"/>
    </row>
    <row r="61" spans="1:11" ht="40.15" customHeight="1" x14ac:dyDescent="0.25">
      <c r="A61" s="212" t="s">
        <v>409</v>
      </c>
      <c r="B61" s="213"/>
      <c r="C61" s="214"/>
      <c r="D61" s="244"/>
      <c r="E61" s="244"/>
      <c r="F61" s="244"/>
      <c r="G61" s="244"/>
      <c r="H61" s="244"/>
      <c r="I61" s="244"/>
      <c r="J61" s="244"/>
      <c r="K61" s="244"/>
    </row>
    <row r="62" spans="1:11" ht="19.899999999999999" customHeight="1" x14ac:dyDescent="0.25">
      <c r="A62" s="92" t="s">
        <v>384</v>
      </c>
      <c r="B62" s="245" t="s">
        <v>410</v>
      </c>
      <c r="C62" s="245"/>
      <c r="D62" s="245"/>
      <c r="E62" s="245"/>
      <c r="F62" s="245"/>
      <c r="G62" s="245"/>
      <c r="H62" s="245"/>
      <c r="I62" s="245"/>
      <c r="J62" s="245"/>
      <c r="K62" s="245"/>
    </row>
    <row r="63" spans="1:11" ht="19.899999999999999" customHeight="1" x14ac:dyDescent="0.25">
      <c r="A63" s="93"/>
      <c r="B63" s="238" t="s">
        <v>411</v>
      </c>
      <c r="C63" s="238"/>
      <c r="D63" s="238"/>
      <c r="E63" s="238"/>
      <c r="F63" s="238"/>
      <c r="G63" s="238"/>
      <c r="H63" s="238"/>
      <c r="I63" s="238"/>
      <c r="J63" s="238"/>
      <c r="K63" s="238"/>
    </row>
    <row r="64" spans="1:11" ht="19.899999999999999" customHeight="1" x14ac:dyDescent="0.25">
      <c r="A64" s="93"/>
      <c r="B64" s="238" t="s">
        <v>412</v>
      </c>
      <c r="C64" s="238"/>
      <c r="D64" s="238"/>
      <c r="E64" s="238"/>
      <c r="F64" s="238"/>
      <c r="G64" s="238"/>
      <c r="H64" s="238"/>
      <c r="I64" s="238"/>
      <c r="J64" s="238"/>
      <c r="K64" s="238"/>
    </row>
    <row r="65" spans="1:11" ht="19.899999999999999" customHeight="1" x14ac:dyDescent="0.25">
      <c r="A65" s="93"/>
      <c r="B65" s="238" t="s">
        <v>413</v>
      </c>
      <c r="C65" s="238"/>
      <c r="D65" s="238"/>
      <c r="E65" s="238"/>
      <c r="F65" s="238"/>
      <c r="G65" s="238"/>
      <c r="H65" s="238"/>
      <c r="I65" s="238"/>
      <c r="J65" s="238"/>
      <c r="K65" s="238"/>
    </row>
    <row r="66" spans="1:11" ht="19.899999999999999" customHeight="1" x14ac:dyDescent="0.25">
      <c r="A66" s="93"/>
      <c r="B66" s="238" t="s">
        <v>414</v>
      </c>
      <c r="C66" s="238"/>
      <c r="D66" s="238"/>
      <c r="E66" s="238"/>
      <c r="F66" s="238"/>
      <c r="G66" s="238"/>
      <c r="H66" s="238"/>
      <c r="I66" s="238"/>
      <c r="J66" s="238"/>
      <c r="K66" s="238"/>
    </row>
    <row r="67" spans="1:11" ht="25.15" customHeight="1" x14ac:dyDescent="0.25">
      <c r="A67" s="93"/>
      <c r="B67" s="238" t="s">
        <v>415</v>
      </c>
      <c r="C67" s="238"/>
      <c r="D67" s="238"/>
      <c r="E67" s="238"/>
      <c r="F67" s="238"/>
      <c r="G67" s="238"/>
      <c r="H67" s="238"/>
      <c r="I67" s="238"/>
      <c r="J67" s="238"/>
      <c r="K67" s="238"/>
    </row>
    <row r="68" spans="1:11" ht="19.899999999999999" customHeight="1" x14ac:dyDescent="0.25">
      <c r="A68" s="93"/>
      <c r="B68" s="238" t="s">
        <v>416</v>
      </c>
      <c r="C68" s="238"/>
      <c r="D68" s="238"/>
      <c r="E68" s="238"/>
      <c r="F68" s="238"/>
      <c r="G68" s="238"/>
      <c r="H68" s="238"/>
      <c r="I68" s="238"/>
      <c r="J68" s="238"/>
      <c r="K68" s="238"/>
    </row>
    <row r="69" spans="1:11" ht="19.899999999999999" customHeight="1" x14ac:dyDescent="0.25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</row>
  </sheetData>
  <mergeCells count="125">
    <mergeCell ref="B65:K65"/>
    <mergeCell ref="B66:K66"/>
    <mergeCell ref="B67:K67"/>
    <mergeCell ref="B68:K68"/>
    <mergeCell ref="B11:K11"/>
    <mergeCell ref="A60:K60"/>
    <mergeCell ref="A61:C61"/>
    <mergeCell ref="D61:K61"/>
    <mergeCell ref="B62:K62"/>
    <mergeCell ref="B63:K63"/>
    <mergeCell ref="B64:K64"/>
    <mergeCell ref="A56:B56"/>
    <mergeCell ref="C56:K56"/>
    <mergeCell ref="A57:B57"/>
    <mergeCell ref="C57:K57"/>
    <mergeCell ref="A58:K58"/>
    <mergeCell ref="A59:K59"/>
    <mergeCell ref="A50:K50"/>
    <mergeCell ref="A51:K51"/>
    <mergeCell ref="A52:K52"/>
    <mergeCell ref="A53:K53"/>
    <mergeCell ref="A54:K54"/>
    <mergeCell ref="A55:K55"/>
    <mergeCell ref="B46:C46"/>
    <mergeCell ref="D46:E46"/>
    <mergeCell ref="F46:G46"/>
    <mergeCell ref="J46:K46"/>
    <mergeCell ref="A47:K48"/>
    <mergeCell ref="A49:K49"/>
    <mergeCell ref="B44:C44"/>
    <mergeCell ref="D44:E44"/>
    <mergeCell ref="F44:G44"/>
    <mergeCell ref="J44:K44"/>
    <mergeCell ref="B45:C45"/>
    <mergeCell ref="D45:E45"/>
    <mergeCell ref="F45:G45"/>
    <mergeCell ref="J45:K45"/>
    <mergeCell ref="B42:C42"/>
    <mergeCell ref="D42:E42"/>
    <mergeCell ref="F42:G42"/>
    <mergeCell ref="J42:K42"/>
    <mergeCell ref="B43:C43"/>
    <mergeCell ref="D43:E43"/>
    <mergeCell ref="F43:G43"/>
    <mergeCell ref="J43:K43"/>
    <mergeCell ref="B40:C40"/>
    <mergeCell ref="D40:E40"/>
    <mergeCell ref="F40:G40"/>
    <mergeCell ref="J40:K40"/>
    <mergeCell ref="B41:C41"/>
    <mergeCell ref="D41:E41"/>
    <mergeCell ref="F41:G41"/>
    <mergeCell ref="J41:K41"/>
    <mergeCell ref="A36:K36"/>
    <mergeCell ref="B37:E37"/>
    <mergeCell ref="J37:K37"/>
    <mergeCell ref="B38:E38"/>
    <mergeCell ref="J38:K38"/>
    <mergeCell ref="A39:K39"/>
    <mergeCell ref="B33:E33"/>
    <mergeCell ref="J33:K33"/>
    <mergeCell ref="B34:E34"/>
    <mergeCell ref="J34:K34"/>
    <mergeCell ref="B35:E35"/>
    <mergeCell ref="J35:K35"/>
    <mergeCell ref="B30:E30"/>
    <mergeCell ref="J30:K30"/>
    <mergeCell ref="B31:E31"/>
    <mergeCell ref="J31:K31"/>
    <mergeCell ref="B32:E32"/>
    <mergeCell ref="J32:K32"/>
    <mergeCell ref="B27:E27"/>
    <mergeCell ref="J27:K27"/>
    <mergeCell ref="B28:E28"/>
    <mergeCell ref="J28:K28"/>
    <mergeCell ref="B29:E29"/>
    <mergeCell ref="J29:K29"/>
    <mergeCell ref="B24:E24"/>
    <mergeCell ref="J24:K24"/>
    <mergeCell ref="B26:E26"/>
    <mergeCell ref="J26:K26"/>
    <mergeCell ref="B25:K25"/>
    <mergeCell ref="B21:E21"/>
    <mergeCell ref="J21:K21"/>
    <mergeCell ref="B22:E22"/>
    <mergeCell ref="J22:K22"/>
    <mergeCell ref="B23:E23"/>
    <mergeCell ref="J23:K23"/>
    <mergeCell ref="B18:E18"/>
    <mergeCell ref="J18:K18"/>
    <mergeCell ref="B19:E19"/>
    <mergeCell ref="J19:K19"/>
    <mergeCell ref="B20:E20"/>
    <mergeCell ref="J20:K20"/>
    <mergeCell ref="B15:E15"/>
    <mergeCell ref="J15:K15"/>
    <mergeCell ref="B17:E17"/>
    <mergeCell ref="J17:K17"/>
    <mergeCell ref="B16:K16"/>
    <mergeCell ref="B12:E12"/>
    <mergeCell ref="J12:K12"/>
    <mergeCell ref="B13:E13"/>
    <mergeCell ref="J13:K13"/>
    <mergeCell ref="B14:E14"/>
    <mergeCell ref="J14:K14"/>
    <mergeCell ref="A8:K8"/>
    <mergeCell ref="B9:E9"/>
    <mergeCell ref="J9:K9"/>
    <mergeCell ref="B10:K10"/>
    <mergeCell ref="A6:C6"/>
    <mergeCell ref="D6:G6"/>
    <mergeCell ref="H6:I6"/>
    <mergeCell ref="J6:K6"/>
    <mergeCell ref="A7:C7"/>
    <mergeCell ref="D7:F7"/>
    <mergeCell ref="G7:H7"/>
    <mergeCell ref="I7:K7"/>
    <mergeCell ref="A1:K1"/>
    <mergeCell ref="E3:F3"/>
    <mergeCell ref="I3:J3"/>
    <mergeCell ref="B4:G4"/>
    <mergeCell ref="I4:K4"/>
    <mergeCell ref="C5:D5"/>
    <mergeCell ref="E5:F5"/>
    <mergeCell ref="J5:K5"/>
  </mergeCells>
  <phoneticPr fontId="6" type="noConversion"/>
  <printOptions horizontalCentered="1" verticalCentered="1"/>
  <pageMargins left="0" right="0" top="0" bottom="0" header="0" footer="0"/>
  <pageSetup paperSize="9" scale="5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3" r:id="rId4" name="Spinner 1">
              <controlPr defaultSize="0" autoPict="0">
                <anchor moveWithCells="1" sizeWithCells="1">
                  <from>
                    <xdr:col>12</xdr:col>
                    <xdr:colOff>914400</xdr:colOff>
                    <xdr:row>0</xdr:row>
                    <xdr:rowOff>314325</xdr:rowOff>
                  </from>
                  <to>
                    <xdr:col>13</xdr:col>
                    <xdr:colOff>704850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10"/>
    <pageSetUpPr fitToPage="1"/>
  </sheetPr>
  <dimension ref="A1:P53"/>
  <sheetViews>
    <sheetView showZeros="0" view="pageBreakPreview" zoomScale="85" zoomScaleNormal="100" zoomScaleSheetLayoutView="85" workbookViewId="0">
      <selection activeCell="T24" sqref="T24"/>
    </sheetView>
  </sheetViews>
  <sheetFormatPr defaultColWidth="8.875" defaultRowHeight="19.899999999999999" customHeight="1" x14ac:dyDescent="0.25"/>
  <cols>
    <col min="1" max="1" width="14.75" style="85" customWidth="1"/>
    <col min="2" max="2" width="15.75" style="85" customWidth="1"/>
    <col min="3" max="3" width="13.75" style="85" customWidth="1"/>
    <col min="4" max="4" width="14.75" style="85" customWidth="1"/>
    <col min="5" max="5" width="11.75" style="85" customWidth="1"/>
    <col min="6" max="6" width="10.75" style="85" customWidth="1"/>
    <col min="7" max="9" width="17.75" style="85" customWidth="1"/>
    <col min="10" max="10" width="12.75" style="85" customWidth="1"/>
    <col min="11" max="11" width="17.75" style="85" customWidth="1"/>
    <col min="12" max="12" width="8.875" style="85"/>
    <col min="13" max="13" width="11.75" style="85" customWidth="1"/>
    <col min="14" max="14" width="13.75" style="85" bestFit="1" customWidth="1"/>
    <col min="15" max="15" width="8.875" style="85"/>
    <col min="16" max="16" width="9" style="85" bestFit="1" customWidth="1"/>
    <col min="17" max="16384" width="8.875" style="85"/>
  </cols>
  <sheetData>
    <row r="1" spans="1:16" ht="34.9" customHeight="1" x14ac:dyDescent="0.6">
      <c r="A1" s="185" t="s">
        <v>428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</row>
    <row r="2" spans="1:16" ht="36.75" customHeight="1" x14ac:dyDescent="0.25">
      <c r="A2" s="82" t="s">
        <v>351</v>
      </c>
      <c r="B2" s="84">
        <f>VLOOKUP($I$3,記事!$A$4:T123,17)</f>
        <v>2</v>
      </c>
    </row>
    <row r="3" spans="1:16" ht="19.899999999999999" customHeight="1" x14ac:dyDescent="0.3">
      <c r="A3" s="87" t="s">
        <v>352</v>
      </c>
      <c r="B3" s="88" t="s">
        <v>353</v>
      </c>
      <c r="C3" s="115" t="str">
        <f>VLOOKUP($I$3,記事!$A$4:T123,2)</f>
        <v>晴</v>
      </c>
      <c r="D3" s="88" t="s">
        <v>354</v>
      </c>
      <c r="E3" s="186" t="str">
        <f>VLOOKUP($I$3,記事!$A$4:T123,3)</f>
        <v>晴</v>
      </c>
      <c r="F3" s="186"/>
      <c r="G3" s="86"/>
      <c r="H3" s="88" t="s">
        <v>355</v>
      </c>
      <c r="I3" s="187">
        <f t="shared" ref="I3" si="0">N7+P8</f>
        <v>45804</v>
      </c>
      <c r="J3" s="187"/>
      <c r="K3" s="89">
        <f>I3</f>
        <v>45804</v>
      </c>
    </row>
    <row r="4" spans="1:16" ht="19.899999999999999" customHeight="1" x14ac:dyDescent="0.3">
      <c r="A4" s="163" t="s">
        <v>166</v>
      </c>
      <c r="B4" s="188" t="str">
        <f>基本資料!H1</f>
        <v>後埔國小113年度充實設施設備-改善校園環境工程</v>
      </c>
      <c r="C4" s="188"/>
      <c r="D4" s="188"/>
      <c r="E4" s="188"/>
      <c r="F4" s="188"/>
      <c r="G4" s="188"/>
      <c r="H4" s="188"/>
      <c r="I4" s="188"/>
      <c r="J4" s="188"/>
      <c r="K4" s="188"/>
    </row>
    <row r="5" spans="1:16" ht="19.899999999999999" customHeight="1" x14ac:dyDescent="0.3">
      <c r="A5" s="163" t="s">
        <v>356</v>
      </c>
      <c r="B5" s="256">
        <f>基本資料!C2</f>
        <v>120</v>
      </c>
      <c r="C5" s="256"/>
      <c r="D5" s="163" t="s">
        <v>357</v>
      </c>
      <c r="E5" s="182">
        <v>45803</v>
      </c>
      <c r="F5" s="182"/>
      <c r="G5" s="163" t="s">
        <v>358</v>
      </c>
      <c r="H5" s="164">
        <v>45922</v>
      </c>
      <c r="I5" s="163" t="s">
        <v>359</v>
      </c>
      <c r="J5" s="182"/>
      <c r="K5" s="182"/>
    </row>
    <row r="6" spans="1:16" ht="19.899999999999999" customHeight="1" x14ac:dyDescent="0.3">
      <c r="A6" s="181" t="s">
        <v>360</v>
      </c>
      <c r="B6" s="181"/>
      <c r="C6" s="257"/>
      <c r="D6" s="257"/>
      <c r="E6" s="181" t="s">
        <v>361</v>
      </c>
      <c r="F6" s="181"/>
      <c r="G6" s="191">
        <f>VLOOKUP($I$3,記事!$A$4:T123,20)</f>
        <v>0</v>
      </c>
      <c r="H6" s="191"/>
      <c r="I6" s="258" t="s">
        <v>362</v>
      </c>
      <c r="J6" s="165" t="s">
        <v>363</v>
      </c>
      <c r="K6" s="166"/>
    </row>
    <row r="7" spans="1:16" ht="19.899999999999999" customHeight="1" x14ac:dyDescent="0.3">
      <c r="A7" s="163" t="s">
        <v>365</v>
      </c>
      <c r="B7" s="183">
        <f>VLOOKUP($I$3,記事!$A$4:T123,9)</f>
        <v>2.3E-3</v>
      </c>
      <c r="C7" s="183"/>
      <c r="D7" s="183"/>
      <c r="E7" s="181" t="s">
        <v>366</v>
      </c>
      <c r="F7" s="181"/>
      <c r="G7" s="184">
        <f>VLOOKUP($I$3,記事!$A$4:T123,18)</f>
        <v>2.7420915486167069E-2</v>
      </c>
      <c r="H7" s="184"/>
      <c r="I7" s="259"/>
      <c r="J7" s="165" t="s">
        <v>364</v>
      </c>
      <c r="K7" s="166"/>
      <c r="M7" s="85" t="s">
        <v>367</v>
      </c>
      <c r="N7" s="90">
        <v>45803</v>
      </c>
      <c r="P7" s="85">
        <f>N9-N7</f>
        <v>119</v>
      </c>
    </row>
    <row r="8" spans="1:16" ht="19.899999999999999" customHeight="1" x14ac:dyDescent="0.3">
      <c r="A8" s="197" t="s">
        <v>370</v>
      </c>
      <c r="B8" s="197"/>
      <c r="C8" s="197"/>
      <c r="D8" s="197"/>
      <c r="E8" s="197"/>
      <c r="F8" s="197"/>
      <c r="G8" s="197"/>
      <c r="H8" s="197"/>
      <c r="I8" s="197"/>
      <c r="J8" s="197"/>
      <c r="K8" s="197"/>
      <c r="O8" s="85" t="s">
        <v>369</v>
      </c>
      <c r="P8" s="85">
        <v>1</v>
      </c>
    </row>
    <row r="9" spans="1:16" ht="19.899999999999999" customHeight="1" x14ac:dyDescent="0.3">
      <c r="A9" s="167" t="s">
        <v>371</v>
      </c>
      <c r="B9" s="198" t="s">
        <v>372</v>
      </c>
      <c r="C9" s="199"/>
      <c r="D9" s="199"/>
      <c r="E9" s="200"/>
      <c r="F9" s="167" t="s">
        <v>373</v>
      </c>
      <c r="G9" s="163" t="s">
        <v>374</v>
      </c>
      <c r="H9" s="163" t="s">
        <v>375</v>
      </c>
      <c r="I9" s="163" t="s">
        <v>324</v>
      </c>
      <c r="J9" s="201" t="s">
        <v>376</v>
      </c>
      <c r="K9" s="202"/>
      <c r="M9" s="85" t="s">
        <v>368</v>
      </c>
      <c r="N9" s="91">
        <v>45922</v>
      </c>
    </row>
    <row r="10" spans="1:16" ht="19.899999999999999" customHeight="1" x14ac:dyDescent="0.25">
      <c r="A10" s="128" t="str">
        <f>基本資料!$A$5</f>
        <v>壹</v>
      </c>
      <c r="B10" s="203" t="str">
        <f>基本資料!$B$5</f>
        <v>直接工程</v>
      </c>
      <c r="C10" s="204"/>
      <c r="D10" s="204"/>
      <c r="E10" s="204"/>
      <c r="F10" s="204"/>
      <c r="G10" s="204"/>
      <c r="H10" s="204"/>
      <c r="I10" s="204"/>
      <c r="J10" s="204"/>
      <c r="K10" s="205"/>
    </row>
    <row r="11" spans="1:16" ht="19.899999999999999" customHeight="1" x14ac:dyDescent="0.25">
      <c r="A11" s="168" t="str">
        <f>基本資料!$A$6</f>
        <v>一</v>
      </c>
      <c r="B11" s="260" t="str">
        <f>基本資料!$B$6</f>
        <v>假設工程</v>
      </c>
      <c r="C11" s="207"/>
      <c r="D11" s="207"/>
      <c r="E11" s="207"/>
      <c r="F11" s="239"/>
      <c r="G11" s="239"/>
      <c r="H11" s="239"/>
      <c r="I11" s="239"/>
      <c r="J11" s="239"/>
      <c r="K11" s="240"/>
    </row>
    <row r="12" spans="1:16" ht="19.899999999999999" customHeight="1" x14ac:dyDescent="0.25">
      <c r="A12" s="168">
        <f>基本資料!$A$7</f>
        <v>1</v>
      </c>
      <c r="B12" s="192" t="str">
        <f>基本資料!$B$7</f>
        <v>乙種安全圍籬與三角錐連桿警示燈(租用)</v>
      </c>
      <c r="C12" s="193"/>
      <c r="D12" s="193"/>
      <c r="E12" s="194"/>
      <c r="F12" s="128" t="str">
        <f>基本資料!$C$7</f>
        <v>式</v>
      </c>
      <c r="G12" s="169">
        <f>基本資料!$D$7</f>
        <v>1</v>
      </c>
      <c r="H12" s="170">
        <f>VLOOKUP($K$3,'No1'!$A$8:$R$128,4)</f>
        <v>0</v>
      </c>
      <c r="I12" s="170">
        <f>VLOOKUP($K$3,'No1'!$A$8:$R$128,10)</f>
        <v>1</v>
      </c>
      <c r="J12" s="195"/>
      <c r="K12" s="196"/>
    </row>
    <row r="13" spans="1:16" ht="19.899999999999999" customHeight="1" x14ac:dyDescent="0.25">
      <c r="A13" s="168">
        <f>基本資料!$A$8</f>
        <v>2</v>
      </c>
      <c r="B13" s="192" t="str">
        <f>基本資料!$B$8</f>
        <v>工程告示牌與職安告示牌(租用)</v>
      </c>
      <c r="C13" s="193"/>
      <c r="D13" s="193"/>
      <c r="E13" s="194"/>
      <c r="F13" s="128" t="str">
        <f>基本資料!$C$8</f>
        <v>式</v>
      </c>
      <c r="G13" s="169">
        <f>基本資料!$D$8</f>
        <v>1</v>
      </c>
      <c r="H13" s="170">
        <f>VLOOKUP($K$3,'No1'!$A$8:$R$128,5)</f>
        <v>0</v>
      </c>
      <c r="I13" s="170">
        <f>VLOOKUP($K$3,'No1'!$A$8:$R$128,11)</f>
        <v>1</v>
      </c>
      <c r="J13" s="195"/>
      <c r="K13" s="196"/>
    </row>
    <row r="14" spans="1:16" ht="19.899999999999999" customHeight="1" x14ac:dyDescent="0.25">
      <c r="A14" s="168">
        <f>基本資料!$A$9</f>
        <v>3</v>
      </c>
      <c r="B14" s="192" t="str">
        <f>基本資料!$B$9</f>
        <v>場地放樣及測量</v>
      </c>
      <c r="C14" s="193"/>
      <c r="D14" s="193"/>
      <c r="E14" s="194"/>
      <c r="F14" s="128" t="str">
        <f>基本資料!$C$9</f>
        <v>式</v>
      </c>
      <c r="G14" s="169">
        <f>基本資料!$D$9</f>
        <v>1</v>
      </c>
      <c r="H14" s="170">
        <f>VLOOKUP($K$3,'No1'!$A$8:$R$128,6)</f>
        <v>0</v>
      </c>
      <c r="I14" s="170">
        <f>VLOOKUP($K$3,'No1'!$A$8:$R$128,12)</f>
        <v>0</v>
      </c>
      <c r="J14" s="195"/>
      <c r="K14" s="196"/>
    </row>
    <row r="15" spans="1:16" ht="34.15" customHeight="1" x14ac:dyDescent="0.25">
      <c r="A15" s="168">
        <f>基本資料!$A$10</f>
        <v>4</v>
      </c>
      <c r="B15" s="192" t="str">
        <f>基本資料!$B$10</f>
        <v>既有設施及設備損壞復原與配合遷移與清運(含廢棄物清運證明)</v>
      </c>
      <c r="C15" s="193"/>
      <c r="D15" s="193"/>
      <c r="E15" s="194"/>
      <c r="F15" s="128" t="str">
        <f>基本資料!$C$10</f>
        <v>式</v>
      </c>
      <c r="G15" s="169">
        <f>基本資料!$D$10</f>
        <v>1</v>
      </c>
      <c r="H15" s="170">
        <f>VLOOKUP($K$3,'No1'!$A$8:$R$128,7)</f>
        <v>0</v>
      </c>
      <c r="I15" s="170">
        <f>VLOOKUP($K$3,'No1'!$A$8:$R$128,13)</f>
        <v>0</v>
      </c>
      <c r="J15" s="195"/>
      <c r="K15" s="196"/>
    </row>
    <row r="16" spans="1:16" ht="19.899999999999999" customHeight="1" x14ac:dyDescent="0.25">
      <c r="A16" s="168" t="str">
        <f>基本資料!$A$11</f>
        <v>二</v>
      </c>
      <c r="B16" s="260" t="str">
        <f>基本資料!$B$11</f>
        <v>排水溝整建工程</v>
      </c>
      <c r="C16" s="207"/>
      <c r="D16" s="207"/>
      <c r="E16" s="207"/>
      <c r="F16" s="207"/>
      <c r="G16" s="208"/>
      <c r="H16" s="209"/>
      <c r="I16" s="209"/>
      <c r="J16" s="207"/>
      <c r="K16" s="210"/>
    </row>
    <row r="17" spans="1:11" ht="34.15" customHeight="1" x14ac:dyDescent="0.25">
      <c r="A17" s="168">
        <f>基本資料!$A$12</f>
        <v>1</v>
      </c>
      <c r="B17" s="192" t="str">
        <f>基本資料!$B$12</f>
        <v>西側排水溝打除及清運；開挖水溝施作位置；既有水溝清淤</v>
      </c>
      <c r="C17" s="193"/>
      <c r="D17" s="193"/>
      <c r="E17" s="194"/>
      <c r="F17" s="128" t="str">
        <f>基本資料!$C$12</f>
        <v>式</v>
      </c>
      <c r="G17" s="169">
        <f>基本資料!$D$12</f>
        <v>1</v>
      </c>
      <c r="H17" s="170">
        <f>VLOOKUP($K$3,'No2'!$A$8:$AA$128,3)</f>
        <v>0.3</v>
      </c>
      <c r="I17" s="170">
        <f>VLOOKUP($K$3,'No2'!$A$8:$AA$128,12)</f>
        <v>0.3</v>
      </c>
      <c r="J17" s="195"/>
      <c r="K17" s="196"/>
    </row>
    <row r="18" spans="1:11" ht="34.15" customHeight="1" x14ac:dyDescent="0.25">
      <c r="A18" s="168">
        <f>基本資料!$A$13</f>
        <v>2</v>
      </c>
      <c r="B18" s="192" t="str">
        <f>基本資料!$B$13</f>
        <v>東側排水溝打除及清運；開挖水溝施作位置；既有水溝清淤</v>
      </c>
      <c r="C18" s="193"/>
      <c r="D18" s="193"/>
      <c r="E18" s="194"/>
      <c r="F18" s="128" t="str">
        <f>基本資料!$C$13</f>
        <v>式</v>
      </c>
      <c r="G18" s="169">
        <f>基本資料!$D$13</f>
        <v>1</v>
      </c>
      <c r="H18" s="170">
        <f>VLOOKUP($K$3,'No2'!$A$8:$AA$128,4)</f>
        <v>0.3</v>
      </c>
      <c r="I18" s="170">
        <f>VLOOKUP($K$3,'No2'!$A$8:$AA$128,13)</f>
        <v>0.3</v>
      </c>
      <c r="J18" s="195"/>
      <c r="K18" s="196"/>
    </row>
    <row r="19" spans="1:11" ht="67.900000000000006" customHeight="1" x14ac:dyDescent="0.25">
      <c r="A19" s="168">
        <f>基本資料!$A$14</f>
        <v>3</v>
      </c>
      <c r="B19" s="192" t="str">
        <f>基本資料!$B$14</f>
        <v>新作西側排水溝；設置鍍鋅鋼材止滑細縫水溝蓋及鍍鋅花紋鋼板；溝體破損處修補及調整溝底洩水坡度；切割挖除清運既有跑道面層與基礎，設置RC地坪，面層抿石子</v>
      </c>
      <c r="C19" s="193"/>
      <c r="D19" s="193"/>
      <c r="E19" s="194"/>
      <c r="F19" s="128" t="str">
        <f>基本資料!$C$14</f>
        <v>式</v>
      </c>
      <c r="G19" s="169">
        <f>基本資料!$D$14</f>
        <v>1</v>
      </c>
      <c r="H19" s="170">
        <f>VLOOKUP($K$3,'No2'!$A$8:$AA$128,5)</f>
        <v>0</v>
      </c>
      <c r="I19" s="170">
        <f>VLOOKUP($K$3,'No2'!$A$8:$AA$128,14)</f>
        <v>0</v>
      </c>
      <c r="J19" s="195"/>
      <c r="K19" s="196"/>
    </row>
    <row r="20" spans="1:11" ht="34.15" customHeight="1" x14ac:dyDescent="0.25">
      <c r="A20" s="168">
        <f>基本資料!$A$15</f>
        <v>4</v>
      </c>
      <c r="B20" s="192" t="str">
        <f>基本資料!$B$15</f>
        <v>新作東側排水溝；設置化妝蓋板及鍍鋅花紋鋼板；溝體破損處修補及調整溝底洩水坡度</v>
      </c>
      <c r="C20" s="193"/>
      <c r="D20" s="193"/>
      <c r="E20" s="194"/>
      <c r="F20" s="128" t="str">
        <f>基本資料!$C$15</f>
        <v>式</v>
      </c>
      <c r="G20" s="169">
        <f>基本資料!$D$15</f>
        <v>1</v>
      </c>
      <c r="H20" s="170">
        <f>VLOOKUP($K$3,'No2'!$A$8:$AA$128,6)</f>
        <v>0</v>
      </c>
      <c r="I20" s="170">
        <f>VLOOKUP($K$3,'No2'!$A$8:$AA$128,15)</f>
        <v>0</v>
      </c>
      <c r="J20" s="195"/>
      <c r="K20" s="196"/>
    </row>
    <row r="21" spans="1:11" ht="19.899999999999999" customHeight="1" x14ac:dyDescent="0.25">
      <c r="A21" s="168">
        <f>基本資料!$A$16</f>
        <v>5</v>
      </c>
      <c r="B21" s="192" t="str">
        <f>基本資料!$B$16</f>
        <v>新作陰井(含陰井蓋)及涵管</v>
      </c>
      <c r="C21" s="193"/>
      <c r="D21" s="193"/>
      <c r="E21" s="194"/>
      <c r="F21" s="128" t="str">
        <f>基本資料!$C$16</f>
        <v>式</v>
      </c>
      <c r="G21" s="169">
        <f>基本資料!$D$16</f>
        <v>1</v>
      </c>
      <c r="H21" s="170">
        <f>VLOOKUP($K$3,'No2'!$A$8:$AA$128,7)</f>
        <v>0</v>
      </c>
      <c r="I21" s="170">
        <f>VLOOKUP($K$3,'No2'!$A$8:$AA$128,16)</f>
        <v>0</v>
      </c>
      <c r="J21" s="195"/>
      <c r="K21" s="196"/>
    </row>
    <row r="22" spans="1:11" ht="19.899999999999999" customHeight="1" x14ac:dyDescent="0.25">
      <c r="A22" s="168">
        <f>基本資料!$A$17</f>
        <v>6</v>
      </c>
      <c r="B22" s="192" t="str">
        <f>基本資料!$B$17</f>
        <v>抽水馬達與浮球開關(含線路接引與專用開關箱)</v>
      </c>
      <c r="C22" s="193"/>
      <c r="D22" s="193"/>
      <c r="E22" s="194"/>
      <c r="F22" s="128" t="str">
        <f>基本資料!$C$17</f>
        <v>組</v>
      </c>
      <c r="G22" s="169">
        <f>基本資料!$D$17</f>
        <v>2</v>
      </c>
      <c r="H22" s="170">
        <f>VLOOKUP($K$3,'No2'!$A$8:$AA$128,8)</f>
        <v>0</v>
      </c>
      <c r="I22" s="170">
        <f>VLOOKUP($K$3,'No2'!$A$8:$AA$128,17)</f>
        <v>0</v>
      </c>
      <c r="J22" s="195"/>
      <c r="K22" s="196"/>
    </row>
    <row r="23" spans="1:11" ht="19.899999999999999" customHeight="1" x14ac:dyDescent="0.25">
      <c r="A23" s="168">
        <f>基本資料!$A$18</f>
        <v>7</v>
      </c>
      <c r="B23" s="192" t="str">
        <f>基本資料!$B$18</f>
        <v>原有地坪連鎖磚拆除及重鋪；表面以高壓水槍清潔</v>
      </c>
      <c r="C23" s="193"/>
      <c r="D23" s="193"/>
      <c r="E23" s="194"/>
      <c r="F23" s="128" t="str">
        <f>基本資料!$C$18</f>
        <v>M2</v>
      </c>
      <c r="G23" s="169">
        <f>基本資料!$D$18</f>
        <v>547</v>
      </c>
      <c r="H23" s="170">
        <f>VLOOKUP($K$3,'No2'!$A$8:$AA$128,9)</f>
        <v>0</v>
      </c>
      <c r="I23" s="170">
        <f>VLOOKUP($K$3,'No2'!$A$8:$AA$128,18)</f>
        <v>0</v>
      </c>
      <c r="J23" s="195"/>
      <c r="K23" s="196"/>
    </row>
    <row r="24" spans="1:11" ht="19.899999999999999" customHeight="1" x14ac:dyDescent="0.25">
      <c r="A24" s="168">
        <f>基本資料!$A$19</f>
        <v>8</v>
      </c>
      <c r="B24" s="192" t="str">
        <f>基本資料!$B$19</f>
        <v>原有喬木移除及運棄；移植水溝施工位置喬木</v>
      </c>
      <c r="C24" s="193"/>
      <c r="D24" s="193"/>
      <c r="E24" s="194"/>
      <c r="F24" s="128" t="str">
        <f>基本資料!$C$19</f>
        <v>式</v>
      </c>
      <c r="G24" s="169">
        <f>基本資料!$D$19</f>
        <v>1</v>
      </c>
      <c r="H24" s="170">
        <f>VLOOKUP($K$3,'No2'!$A$8:$AA$128,10)</f>
        <v>0</v>
      </c>
      <c r="I24" s="170">
        <f>VLOOKUP($K$3,'No2'!$A$8:$AA$128,19)</f>
        <v>0</v>
      </c>
      <c r="J24" s="195"/>
      <c r="K24" s="196"/>
    </row>
    <row r="25" spans="1:11" ht="19.899999999999999" customHeight="1" x14ac:dyDescent="0.25">
      <c r="A25" s="168" t="str">
        <f>基本資料!$A$20</f>
        <v>三</v>
      </c>
      <c r="B25" s="260" t="str">
        <f>基本資料!$B$20</f>
        <v>洗手台整建工程</v>
      </c>
      <c r="C25" s="207"/>
      <c r="D25" s="207"/>
      <c r="E25" s="207"/>
      <c r="F25" s="207"/>
      <c r="G25" s="208"/>
      <c r="H25" s="209"/>
      <c r="I25" s="209"/>
      <c r="J25" s="207"/>
      <c r="K25" s="210"/>
    </row>
    <row r="26" spans="1:11" ht="19.899999999999999" customHeight="1" x14ac:dyDescent="0.25">
      <c r="A26" s="168">
        <f>基本資料!$A$21</f>
        <v>1</v>
      </c>
      <c r="B26" s="192" t="str">
        <f>基本資料!$B$21</f>
        <v>既有洗手台拆除及運棄；2F既有洗手台拉皮</v>
      </c>
      <c r="C26" s="193"/>
      <c r="D26" s="193"/>
      <c r="E26" s="194"/>
      <c r="F26" s="128" t="str">
        <f>基本資料!$C$21</f>
        <v>式</v>
      </c>
      <c r="G26" s="169">
        <f>基本資料!$D$21</f>
        <v>1</v>
      </c>
      <c r="H26" s="170">
        <f>VLOOKUP($K$3,'No3'!$A$8:$AG$128,3)</f>
        <v>0</v>
      </c>
      <c r="I26" s="170">
        <f>VLOOKUP($K$3,'No3'!$A$8:$AG$128,14)</f>
        <v>0</v>
      </c>
      <c r="J26" s="195"/>
      <c r="K26" s="196"/>
    </row>
    <row r="27" spans="1:11" ht="19.899999999999999" customHeight="1" x14ac:dyDescent="0.25">
      <c r="A27" s="168">
        <f>基本資料!$A$22</f>
        <v>2</v>
      </c>
      <c r="B27" s="192" t="str">
        <f>基本資料!$B$22</f>
        <v>素地清潔整理</v>
      </c>
      <c r="C27" s="193"/>
      <c r="D27" s="193"/>
      <c r="E27" s="194"/>
      <c r="F27" s="128" t="str">
        <f>基本資料!$C$22</f>
        <v>座</v>
      </c>
      <c r="G27" s="169">
        <f>基本資料!$D$22</f>
        <v>10</v>
      </c>
      <c r="H27" s="170">
        <f>VLOOKUP($K$3,'No3'!$A$8:$AG$128,4)</f>
        <v>0</v>
      </c>
      <c r="I27" s="170">
        <f>VLOOKUP($K$3,'No3'!$A$8:$AG$128,15)</f>
        <v>0</v>
      </c>
      <c r="J27" s="195"/>
      <c r="K27" s="196"/>
    </row>
    <row r="28" spans="1:11" ht="19.899999999999999" customHeight="1" x14ac:dyDescent="0.25">
      <c r="A28" s="168">
        <f>基本資料!$A$23</f>
        <v>3</v>
      </c>
      <c r="B28" s="192" t="str">
        <f>基本資料!$B$23</f>
        <v>新作洗手台</v>
      </c>
      <c r="C28" s="193"/>
      <c r="D28" s="193"/>
      <c r="E28" s="194"/>
      <c r="F28" s="128" t="str">
        <f>基本資料!$C$23</f>
        <v>座</v>
      </c>
      <c r="G28" s="169">
        <f>基本資料!$D$23</f>
        <v>10</v>
      </c>
      <c r="H28" s="170">
        <f>VLOOKUP($K$3,'No3'!$A$8:$AG$128,5)</f>
        <v>0</v>
      </c>
      <c r="I28" s="170">
        <f>VLOOKUP($K$3,'No3'!$A$8:$AG$128,16)</f>
        <v>0</v>
      </c>
      <c r="J28" s="195"/>
      <c r="K28" s="196"/>
    </row>
    <row r="29" spans="1:11" ht="19.899999999999999" customHeight="1" x14ac:dyDescent="0.25">
      <c r="A29" s="168">
        <f>基本資料!$A$24</f>
        <v>4</v>
      </c>
      <c r="B29" s="192" t="str">
        <f>基本資料!$B$24</f>
        <v>給排水工程</v>
      </c>
      <c r="C29" s="193"/>
      <c r="D29" s="193"/>
      <c r="E29" s="194"/>
      <c r="F29" s="128" t="str">
        <f>基本資料!$C$24</f>
        <v>式</v>
      </c>
      <c r="G29" s="169">
        <f>基本資料!$D$24</f>
        <v>1</v>
      </c>
      <c r="H29" s="170">
        <f>VLOOKUP($K$3,'No3'!$A$8:$AG$128,6)</f>
        <v>0</v>
      </c>
      <c r="I29" s="170">
        <f>VLOOKUP($K$3,'No3'!$A$8:$AG$128,17)</f>
        <v>0</v>
      </c>
      <c r="J29" s="195"/>
      <c r="K29" s="196"/>
    </row>
    <row r="30" spans="1:11" ht="19.899999999999999" customHeight="1" x14ac:dyDescent="0.25">
      <c r="A30" s="168">
        <f>基本資料!$A$25</f>
        <v>5</v>
      </c>
      <c r="B30" s="192" t="str">
        <f>基本資料!$B$25</f>
        <v>周邊改善修復</v>
      </c>
      <c r="C30" s="193"/>
      <c r="D30" s="193"/>
      <c r="E30" s="194"/>
      <c r="F30" s="128" t="str">
        <f>基本資料!$C$25</f>
        <v>式</v>
      </c>
      <c r="G30" s="169">
        <f>基本資料!$D$25</f>
        <v>1</v>
      </c>
      <c r="H30" s="170">
        <f>VLOOKUP($K$3,'No3'!$A$8:$AG$128,7)</f>
        <v>0</v>
      </c>
      <c r="I30" s="170">
        <f>VLOOKUP($K$3,'No3'!$A$8:$AG$128,18)</f>
        <v>0</v>
      </c>
      <c r="J30" s="195"/>
      <c r="K30" s="196"/>
    </row>
    <row r="31" spans="1:11" ht="19.899999999999999" customHeight="1" x14ac:dyDescent="0.25">
      <c r="A31" s="168" t="str">
        <f>基本資料!$A$26</f>
        <v>貳</v>
      </c>
      <c r="B31" s="192" t="str">
        <f>基本資料!$B$26</f>
        <v>職業安全衛生管理費（壹*1%）</v>
      </c>
      <c r="C31" s="193"/>
      <c r="D31" s="193"/>
      <c r="E31" s="194"/>
      <c r="F31" s="128" t="str">
        <f>基本資料!$C$26</f>
        <v>式</v>
      </c>
      <c r="G31" s="169">
        <f>基本資料!$D$26</f>
        <v>1</v>
      </c>
      <c r="H31" s="170">
        <f>VLOOKUP($K$3,'No3'!$A$8:$AG$128,8)</f>
        <v>0</v>
      </c>
      <c r="I31" s="170">
        <f>VLOOKUP($K$3,'No3'!$A$8:$AG$128,19)</f>
        <v>0</v>
      </c>
      <c r="J31" s="195"/>
      <c r="K31" s="196"/>
    </row>
    <row r="32" spans="1:11" ht="19.899999999999999" customHeight="1" x14ac:dyDescent="0.25">
      <c r="A32" s="168" t="str">
        <f>基本資料!$A$27</f>
        <v>參</v>
      </c>
      <c r="B32" s="192" t="str">
        <f>基本資料!$B$27</f>
        <v>公共工程品質管制作業費（壹*1%）</v>
      </c>
      <c r="C32" s="193"/>
      <c r="D32" s="193"/>
      <c r="E32" s="194"/>
      <c r="F32" s="128" t="str">
        <f>基本資料!$C$27</f>
        <v>式</v>
      </c>
      <c r="G32" s="169">
        <f>基本資料!$D$27</f>
        <v>1</v>
      </c>
      <c r="H32" s="170">
        <f>VLOOKUP($K$3,'No3'!$A$8:$AG$128,9)</f>
        <v>0</v>
      </c>
      <c r="I32" s="170">
        <f>VLOOKUP($K$3,'No3'!$A$8:$AG$128,20)</f>
        <v>0</v>
      </c>
      <c r="J32" s="195"/>
      <c r="K32" s="196"/>
    </row>
    <row r="33" spans="1:11" ht="19.899999999999999" customHeight="1" x14ac:dyDescent="0.25">
      <c r="A33" s="168" t="str">
        <f>基本資料!$A$28</f>
        <v>肆</v>
      </c>
      <c r="B33" s="192" t="str">
        <f>基本資料!$B$28</f>
        <v>包商管理及利潤費（約壹*7%）</v>
      </c>
      <c r="C33" s="193"/>
      <c r="D33" s="193"/>
      <c r="E33" s="194"/>
      <c r="F33" s="128" t="str">
        <f>基本資料!$C$28</f>
        <v>式</v>
      </c>
      <c r="G33" s="169">
        <f>基本資料!$D$28</f>
        <v>1</v>
      </c>
      <c r="H33" s="170">
        <f>VLOOKUP($K$3,'No3'!$A$8:$AG$128,10)</f>
        <v>0</v>
      </c>
      <c r="I33" s="170">
        <f>VLOOKUP($K$3,'No3'!$A$8:$AG$128,21)</f>
        <v>0</v>
      </c>
      <c r="J33" s="195"/>
      <c r="K33" s="196"/>
    </row>
    <row r="34" spans="1:11" ht="19.899999999999999" customHeight="1" x14ac:dyDescent="0.25">
      <c r="A34" s="168" t="str">
        <f>基本資料!$A$29</f>
        <v>伍</v>
      </c>
      <c r="B34" s="192" t="str">
        <f>基本資料!$B$29</f>
        <v>保險費</v>
      </c>
      <c r="C34" s="193"/>
      <c r="D34" s="193"/>
      <c r="E34" s="194"/>
      <c r="F34" s="128" t="str">
        <f>基本資料!$C$29</f>
        <v>式</v>
      </c>
      <c r="G34" s="169">
        <f>基本資料!$D$29</f>
        <v>1</v>
      </c>
      <c r="H34" s="170">
        <f>VLOOKUP($K$3,'No3'!$A$8:$AG$128,11)</f>
        <v>0</v>
      </c>
      <c r="I34" s="170">
        <f>VLOOKUP($K$3,'No3'!$A$8:$AG$128,22)</f>
        <v>0</v>
      </c>
      <c r="J34" s="195"/>
      <c r="K34" s="196"/>
    </row>
    <row r="35" spans="1:11" ht="19.899999999999999" customHeight="1" x14ac:dyDescent="0.25">
      <c r="A35" s="168" t="str">
        <f>基本資料!$A$30</f>
        <v>陸</v>
      </c>
      <c r="B35" s="192" t="str">
        <f>基本資料!$B$30</f>
        <v>營業稅（(壹~伍)*5％）</v>
      </c>
      <c r="C35" s="193"/>
      <c r="D35" s="193"/>
      <c r="E35" s="194"/>
      <c r="F35" s="128" t="str">
        <f>基本資料!$C$30</f>
        <v>式</v>
      </c>
      <c r="G35" s="169">
        <f>基本資料!$D$30</f>
        <v>1</v>
      </c>
      <c r="H35" s="170">
        <f>VLOOKUP($K$3,'No3'!$A$8:$AG$128,12)</f>
        <v>0</v>
      </c>
      <c r="I35" s="170">
        <f>VLOOKUP($K$3,'No3'!$A$8:$AG$128,23)</f>
        <v>0</v>
      </c>
      <c r="J35" s="195"/>
      <c r="K35" s="196"/>
    </row>
    <row r="36" spans="1:11" ht="19.899999999999999" customHeight="1" x14ac:dyDescent="0.3">
      <c r="A36" s="264" t="s">
        <v>377</v>
      </c>
      <c r="B36" s="262"/>
      <c r="C36" s="262"/>
      <c r="D36" s="262"/>
      <c r="E36" s="262"/>
      <c r="F36" s="262"/>
      <c r="G36" s="262"/>
      <c r="H36" s="262"/>
      <c r="I36" s="262"/>
      <c r="J36" s="262"/>
      <c r="K36" s="263"/>
    </row>
    <row r="37" spans="1:11" ht="79.900000000000006" customHeight="1" x14ac:dyDescent="0.3">
      <c r="A37" s="265">
        <f>VLOOKUP($K$3,記事!$A$4:O123,15)</f>
        <v>0</v>
      </c>
      <c r="B37" s="262"/>
      <c r="C37" s="262"/>
      <c r="D37" s="262"/>
      <c r="E37" s="262"/>
      <c r="F37" s="262"/>
      <c r="G37" s="262"/>
      <c r="H37" s="262"/>
      <c r="I37" s="262"/>
      <c r="J37" s="262"/>
      <c r="K37" s="263"/>
    </row>
    <row r="38" spans="1:11" ht="19.899999999999999" customHeight="1" x14ac:dyDescent="0.3">
      <c r="A38" s="261" t="s">
        <v>378</v>
      </c>
      <c r="B38" s="262"/>
      <c r="C38" s="262"/>
      <c r="D38" s="262"/>
      <c r="E38" s="262"/>
      <c r="F38" s="262"/>
      <c r="G38" s="262"/>
      <c r="H38" s="262"/>
      <c r="I38" s="262"/>
      <c r="J38" s="262"/>
      <c r="K38" s="263"/>
    </row>
    <row r="39" spans="1:11" ht="79.900000000000006" customHeight="1" x14ac:dyDescent="0.3">
      <c r="A39" s="265">
        <f>VLOOKUP($K$3,記事!$A$4:O123,14)</f>
        <v>0</v>
      </c>
      <c r="B39" s="262"/>
      <c r="C39" s="262"/>
      <c r="D39" s="262"/>
      <c r="E39" s="262"/>
      <c r="F39" s="262"/>
      <c r="G39" s="262"/>
      <c r="H39" s="262"/>
      <c r="I39" s="262"/>
      <c r="J39" s="262"/>
      <c r="K39" s="263"/>
    </row>
    <row r="40" spans="1:11" ht="19.899999999999999" customHeight="1" x14ac:dyDescent="0.3">
      <c r="A40" s="261" t="s">
        <v>379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3"/>
    </row>
    <row r="41" spans="1:11" ht="19.899999999999999" customHeight="1" x14ac:dyDescent="0.3">
      <c r="A41" s="261" t="s">
        <v>380</v>
      </c>
      <c r="B41" s="262"/>
      <c r="C41" s="262"/>
      <c r="D41" s="262"/>
      <c r="E41" s="262"/>
      <c r="F41" s="262"/>
      <c r="G41" s="262"/>
      <c r="H41" s="262"/>
      <c r="I41" s="262"/>
      <c r="J41" s="262"/>
      <c r="K41" s="263"/>
    </row>
    <row r="42" spans="1:11" ht="19.899999999999999" customHeight="1" x14ac:dyDescent="0.3">
      <c r="A42" s="261">
        <f>VLOOKUP($K$3,記事!$A$4:O123,12)</f>
        <v>0</v>
      </c>
      <c r="B42" s="262"/>
      <c r="C42" s="262"/>
      <c r="D42" s="262"/>
      <c r="E42" s="262"/>
      <c r="F42" s="262"/>
      <c r="G42" s="262"/>
      <c r="H42" s="262"/>
      <c r="I42" s="262"/>
      <c r="J42" s="262"/>
      <c r="K42" s="263"/>
    </row>
    <row r="43" spans="1:11" ht="19.899999999999999" customHeight="1" x14ac:dyDescent="0.3">
      <c r="A43" s="261" t="s">
        <v>381</v>
      </c>
      <c r="B43" s="262"/>
      <c r="C43" s="262"/>
      <c r="D43" s="262"/>
      <c r="E43" s="262"/>
      <c r="F43" s="262"/>
      <c r="G43" s="262"/>
      <c r="H43" s="262"/>
      <c r="I43" s="262"/>
      <c r="J43" s="262"/>
      <c r="K43" s="263"/>
    </row>
    <row r="44" spans="1:11" ht="19.899999999999999" customHeight="1" x14ac:dyDescent="0.3">
      <c r="A44" s="261">
        <f>VLOOKUP($K$3,記事!$A$4:O123,13)</f>
        <v>0</v>
      </c>
      <c r="B44" s="262"/>
      <c r="C44" s="262"/>
      <c r="D44" s="262"/>
      <c r="E44" s="262"/>
      <c r="F44" s="262"/>
      <c r="G44" s="262"/>
      <c r="H44" s="262"/>
      <c r="I44" s="262"/>
      <c r="J44" s="262"/>
      <c r="K44" s="263"/>
    </row>
    <row r="45" spans="1:11" ht="19.899999999999999" customHeight="1" x14ac:dyDescent="0.3">
      <c r="A45" s="261" t="s">
        <v>382</v>
      </c>
      <c r="B45" s="262"/>
      <c r="C45" s="262"/>
      <c r="D45" s="262"/>
      <c r="E45" s="262"/>
      <c r="F45" s="262"/>
      <c r="G45" s="262"/>
      <c r="H45" s="262"/>
      <c r="I45" s="262"/>
      <c r="J45" s="262"/>
      <c r="K45" s="263"/>
    </row>
    <row r="46" spans="1:11" ht="79.900000000000006" customHeight="1" x14ac:dyDescent="0.3">
      <c r="A46" s="266" t="str">
        <f>VLOOKUP($K$3,記事!$A$4:O123,4)</f>
        <v>1.既有排水溝打除。</v>
      </c>
      <c r="B46" s="267"/>
      <c r="C46" s="267"/>
      <c r="D46" s="267"/>
      <c r="E46" s="267"/>
      <c r="F46" s="267"/>
      <c r="G46" s="267"/>
      <c r="H46" s="267"/>
      <c r="I46" s="267"/>
      <c r="J46" s="267"/>
      <c r="K46" s="268"/>
    </row>
    <row r="47" spans="1:11" ht="79.900000000000006" customHeight="1" x14ac:dyDescent="0.3">
      <c r="A47" s="269">
        <f>VLOOKUP($K$3,記事!$A$4:O123,5)</f>
        <v>0</v>
      </c>
      <c r="B47" s="270"/>
      <c r="C47" s="270"/>
      <c r="D47" s="270"/>
      <c r="E47" s="270"/>
      <c r="F47" s="270"/>
      <c r="G47" s="270"/>
      <c r="H47" s="270"/>
      <c r="I47" s="270"/>
      <c r="J47" s="270"/>
      <c r="K47" s="271"/>
    </row>
    <row r="48" spans="1:11" ht="40.15" customHeight="1" x14ac:dyDescent="0.25">
      <c r="A48" s="203" t="s">
        <v>383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5"/>
    </row>
    <row r="49" spans="1:11" ht="18" customHeight="1" x14ac:dyDescent="0.25">
      <c r="A49" s="83" t="s">
        <v>384</v>
      </c>
      <c r="B49" s="245" t="s">
        <v>385</v>
      </c>
      <c r="C49" s="245"/>
      <c r="D49" s="245"/>
      <c r="E49" s="245"/>
      <c r="F49" s="245"/>
      <c r="G49" s="245"/>
      <c r="H49" s="245"/>
      <c r="I49" s="245"/>
      <c r="J49" s="245"/>
      <c r="K49" s="245"/>
    </row>
    <row r="50" spans="1:11" ht="18" customHeight="1" x14ac:dyDescent="0.25">
      <c r="B50" s="238" t="s">
        <v>386</v>
      </c>
      <c r="C50" s="238"/>
      <c r="D50" s="238"/>
      <c r="E50" s="238"/>
      <c r="F50" s="238"/>
      <c r="G50" s="238"/>
      <c r="H50" s="238"/>
      <c r="I50" s="238"/>
      <c r="J50" s="238"/>
      <c r="K50" s="238"/>
    </row>
    <row r="51" spans="1:11" ht="18" customHeight="1" x14ac:dyDescent="0.25">
      <c r="B51" s="238" t="s">
        <v>387</v>
      </c>
      <c r="C51" s="238"/>
      <c r="D51" s="238"/>
      <c r="E51" s="238"/>
      <c r="F51" s="238"/>
      <c r="G51" s="238"/>
      <c r="H51" s="238"/>
      <c r="I51" s="238"/>
      <c r="J51" s="238"/>
      <c r="K51" s="238"/>
    </row>
    <row r="52" spans="1:11" ht="18" customHeight="1" x14ac:dyDescent="0.25">
      <c r="B52" s="238" t="s">
        <v>388</v>
      </c>
      <c r="C52" s="238"/>
      <c r="D52" s="238"/>
      <c r="E52" s="238"/>
      <c r="F52" s="238"/>
      <c r="G52" s="238"/>
      <c r="H52" s="238"/>
      <c r="I52" s="238"/>
      <c r="J52" s="238"/>
      <c r="K52" s="238"/>
    </row>
    <row r="53" spans="1:11" ht="18" customHeight="1" x14ac:dyDescent="0.25">
      <c r="B53" s="238" t="s">
        <v>389</v>
      </c>
      <c r="C53" s="238"/>
      <c r="D53" s="238"/>
      <c r="E53" s="238"/>
      <c r="F53" s="238"/>
      <c r="G53" s="238"/>
      <c r="H53" s="238"/>
      <c r="I53" s="238"/>
      <c r="J53" s="238"/>
      <c r="K53" s="238"/>
    </row>
  </sheetData>
  <mergeCells count="84">
    <mergeCell ref="B53:K53"/>
    <mergeCell ref="A42:K42"/>
    <mergeCell ref="A43:K43"/>
    <mergeCell ref="A44:K44"/>
    <mergeCell ref="A45:K45"/>
    <mergeCell ref="A46:K46"/>
    <mergeCell ref="A47:K47"/>
    <mergeCell ref="A48:K48"/>
    <mergeCell ref="B49:K49"/>
    <mergeCell ref="B50:K50"/>
    <mergeCell ref="B51:K51"/>
    <mergeCell ref="B52:K52"/>
    <mergeCell ref="A41:K41"/>
    <mergeCell ref="B33:E33"/>
    <mergeCell ref="J33:K33"/>
    <mergeCell ref="B34:E34"/>
    <mergeCell ref="J34:K34"/>
    <mergeCell ref="B35:E35"/>
    <mergeCell ref="J35:K35"/>
    <mergeCell ref="A36:K36"/>
    <mergeCell ref="A37:K37"/>
    <mergeCell ref="A38:K38"/>
    <mergeCell ref="A39:K39"/>
    <mergeCell ref="A40:K40"/>
    <mergeCell ref="B30:E30"/>
    <mergeCell ref="J30:K30"/>
    <mergeCell ref="B31:E31"/>
    <mergeCell ref="J31:K31"/>
    <mergeCell ref="B32:E32"/>
    <mergeCell ref="J32:K32"/>
    <mergeCell ref="B27:E27"/>
    <mergeCell ref="J27:K27"/>
    <mergeCell ref="B28:E28"/>
    <mergeCell ref="J28:K28"/>
    <mergeCell ref="B29:E29"/>
    <mergeCell ref="J29:K29"/>
    <mergeCell ref="B24:E24"/>
    <mergeCell ref="J24:K24"/>
    <mergeCell ref="B26:E26"/>
    <mergeCell ref="J26:K26"/>
    <mergeCell ref="B25:K25"/>
    <mergeCell ref="B21:E21"/>
    <mergeCell ref="J21:K21"/>
    <mergeCell ref="B22:E22"/>
    <mergeCell ref="J22:K22"/>
    <mergeCell ref="B23:E23"/>
    <mergeCell ref="J23:K23"/>
    <mergeCell ref="B18:E18"/>
    <mergeCell ref="J18:K18"/>
    <mergeCell ref="B19:E19"/>
    <mergeCell ref="J19:K19"/>
    <mergeCell ref="B20:E20"/>
    <mergeCell ref="J20:K20"/>
    <mergeCell ref="B15:E15"/>
    <mergeCell ref="J15:K15"/>
    <mergeCell ref="B17:E17"/>
    <mergeCell ref="J17:K17"/>
    <mergeCell ref="B16:K16"/>
    <mergeCell ref="B12:E12"/>
    <mergeCell ref="J12:K12"/>
    <mergeCell ref="B13:E13"/>
    <mergeCell ref="J13:K13"/>
    <mergeCell ref="B14:E14"/>
    <mergeCell ref="J14:K14"/>
    <mergeCell ref="A8:K8"/>
    <mergeCell ref="B9:E9"/>
    <mergeCell ref="J9:K9"/>
    <mergeCell ref="B10:K10"/>
    <mergeCell ref="B11:K11"/>
    <mergeCell ref="A6:B6"/>
    <mergeCell ref="C6:D6"/>
    <mergeCell ref="E6:F6"/>
    <mergeCell ref="G6:H6"/>
    <mergeCell ref="I6:I7"/>
    <mergeCell ref="B7:D7"/>
    <mergeCell ref="E7:F7"/>
    <mergeCell ref="G7:H7"/>
    <mergeCell ref="A1:K1"/>
    <mergeCell ref="E3:F3"/>
    <mergeCell ref="I3:J3"/>
    <mergeCell ref="B4:K4"/>
    <mergeCell ref="B5:C5"/>
    <mergeCell ref="E5:F5"/>
    <mergeCell ref="J5:K5"/>
  </mergeCells>
  <phoneticPr fontId="6" type="noConversion"/>
  <printOptions horizontalCentered="1" verticalCentered="1"/>
  <pageMargins left="0" right="0" top="0" bottom="0" header="0" footer="0"/>
  <pageSetup paperSize="9" scale="56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5889" r:id="rId4" name="Spinner 1">
              <controlPr defaultSize="0" autoPict="0">
                <anchor moveWithCells="1" sizeWithCells="1">
                  <from>
                    <xdr:col>12</xdr:col>
                    <xdr:colOff>914400</xdr:colOff>
                    <xdr:row>0</xdr:row>
                    <xdr:rowOff>314325</xdr:rowOff>
                  </from>
                  <to>
                    <xdr:col>13</xdr:col>
                    <xdr:colOff>704850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11"/>
  </sheetPr>
  <dimension ref="A1:Y124"/>
  <sheetViews>
    <sheetView workbookViewId="0">
      <pane xSplit="1" ySplit="4" topLeftCell="B6" activePane="bottomRight" state="frozen"/>
      <selection pane="topRight" activeCell="B1" sqref="B1"/>
      <selection pane="bottomLeft" activeCell="A5" sqref="A5"/>
      <selection pane="bottomRight" activeCell="B36" sqref="B36"/>
    </sheetView>
  </sheetViews>
  <sheetFormatPr defaultRowHeight="16.5" x14ac:dyDescent="0.25"/>
  <cols>
    <col min="1" max="1" width="19.75" customWidth="1"/>
    <col min="2" max="23" width="7.375" customWidth="1"/>
    <col min="24" max="25" width="7.375" hidden="1" customWidth="1"/>
  </cols>
  <sheetData>
    <row r="1" spans="1:25" hidden="1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</row>
    <row r="2" spans="1:25" x14ac:dyDescent="0.25">
      <c r="A2" s="161" t="s">
        <v>347</v>
      </c>
      <c r="B2" s="272" t="s">
        <v>349</v>
      </c>
      <c r="C2" s="273"/>
      <c r="D2" s="273"/>
      <c r="E2" s="273"/>
      <c r="F2" s="273"/>
      <c r="G2" s="273"/>
      <c r="H2" s="273"/>
      <c r="I2" s="273"/>
      <c r="J2" s="273"/>
      <c r="K2" s="273"/>
      <c r="L2" s="273"/>
      <c r="M2" s="274"/>
      <c r="N2" s="275" t="s">
        <v>350</v>
      </c>
      <c r="O2" s="276"/>
      <c r="P2" s="276"/>
      <c r="Q2" s="276"/>
      <c r="R2" s="276"/>
      <c r="S2" s="276"/>
      <c r="T2" s="276"/>
      <c r="U2" s="276"/>
      <c r="V2" s="276"/>
      <c r="W2" s="277"/>
      <c r="X2" s="278" t="s">
        <v>347</v>
      </c>
      <c r="Y2" s="279"/>
    </row>
    <row r="3" spans="1:25" x14ac:dyDescent="0.25">
      <c r="A3" s="161" t="s">
        <v>348</v>
      </c>
      <c r="B3" s="280" t="s">
        <v>471</v>
      </c>
      <c r="C3" s="281"/>
      <c r="D3" s="280" t="s">
        <v>90</v>
      </c>
      <c r="E3" s="281"/>
      <c r="F3" s="280" t="s">
        <v>92</v>
      </c>
      <c r="G3" s="281"/>
      <c r="H3" s="280" t="s">
        <v>99</v>
      </c>
      <c r="I3" s="281"/>
      <c r="J3" s="280" t="s">
        <v>472</v>
      </c>
      <c r="K3" s="281"/>
      <c r="L3" s="280" t="s">
        <v>103</v>
      </c>
      <c r="M3" s="281"/>
      <c r="N3" s="280" t="s">
        <v>94</v>
      </c>
      <c r="O3" s="281"/>
      <c r="P3" s="280" t="s">
        <v>96</v>
      </c>
      <c r="Q3" s="281"/>
      <c r="R3" s="280" t="s">
        <v>95</v>
      </c>
      <c r="S3" s="281"/>
      <c r="T3" s="280" t="s">
        <v>98</v>
      </c>
      <c r="U3" s="281"/>
      <c r="V3" s="280" t="s">
        <v>100</v>
      </c>
      <c r="W3" s="281"/>
      <c r="X3" s="280" t="s">
        <v>422</v>
      </c>
      <c r="Y3" s="281"/>
    </row>
    <row r="4" spans="1:25" x14ac:dyDescent="0.25">
      <c r="A4" s="151" t="s">
        <v>325</v>
      </c>
      <c r="B4" s="152" t="s">
        <v>334</v>
      </c>
      <c r="C4" s="146" t="s">
        <v>327</v>
      </c>
      <c r="D4" s="152" t="s">
        <v>334</v>
      </c>
      <c r="E4" s="146" t="s">
        <v>327</v>
      </c>
      <c r="F4" s="152" t="s">
        <v>334</v>
      </c>
      <c r="G4" s="146" t="s">
        <v>327</v>
      </c>
      <c r="H4" s="152" t="s">
        <v>334</v>
      </c>
      <c r="I4" s="146" t="s">
        <v>327</v>
      </c>
      <c r="J4" s="152" t="s">
        <v>334</v>
      </c>
      <c r="K4" s="146" t="s">
        <v>327</v>
      </c>
      <c r="L4" s="152" t="s">
        <v>334</v>
      </c>
      <c r="M4" s="146" t="s">
        <v>327</v>
      </c>
      <c r="N4" s="152" t="s">
        <v>334</v>
      </c>
      <c r="O4" s="146" t="s">
        <v>327</v>
      </c>
      <c r="P4" s="152" t="s">
        <v>334</v>
      </c>
      <c r="Q4" s="146" t="s">
        <v>327</v>
      </c>
      <c r="R4" s="152" t="s">
        <v>334</v>
      </c>
      <c r="S4" s="146" t="s">
        <v>327</v>
      </c>
      <c r="T4" s="152" t="s">
        <v>334</v>
      </c>
      <c r="U4" s="146" t="s">
        <v>327</v>
      </c>
      <c r="V4" s="152" t="s">
        <v>334</v>
      </c>
      <c r="W4" s="146" t="s">
        <v>327</v>
      </c>
      <c r="X4" s="152" t="s">
        <v>334</v>
      </c>
      <c r="Y4" s="146" t="s">
        <v>327</v>
      </c>
    </row>
    <row r="5" spans="1:25" x14ac:dyDescent="0.25">
      <c r="A5" s="162">
        <v>45803</v>
      </c>
      <c r="B5" s="152">
        <v>1</v>
      </c>
      <c r="C5" s="146">
        <f>B5</f>
        <v>1</v>
      </c>
      <c r="D5" s="152">
        <v>1</v>
      </c>
      <c r="E5" s="146">
        <f>D5</f>
        <v>1</v>
      </c>
      <c r="F5" s="152">
        <v>2</v>
      </c>
      <c r="G5" s="146">
        <f>F5</f>
        <v>2</v>
      </c>
      <c r="H5" s="152"/>
      <c r="I5" s="146">
        <f>H5</f>
        <v>0</v>
      </c>
      <c r="J5" s="152">
        <v>2</v>
      </c>
      <c r="K5" s="146">
        <f>J5</f>
        <v>2</v>
      </c>
      <c r="L5" s="152">
        <v>1</v>
      </c>
      <c r="M5" s="146">
        <f>L5</f>
        <v>1</v>
      </c>
      <c r="N5" s="152"/>
      <c r="O5" s="146">
        <f>N5</f>
        <v>0</v>
      </c>
      <c r="P5" s="152"/>
      <c r="Q5" s="146">
        <f>P5</f>
        <v>0</v>
      </c>
      <c r="R5" s="152"/>
      <c r="S5" s="146">
        <f>R5</f>
        <v>0</v>
      </c>
      <c r="T5" s="152"/>
      <c r="U5" s="146">
        <f>T5</f>
        <v>0</v>
      </c>
      <c r="V5" s="152"/>
      <c r="W5" s="146">
        <f>V5</f>
        <v>0</v>
      </c>
      <c r="X5" s="152"/>
      <c r="Y5" s="146">
        <f>X5</f>
        <v>0</v>
      </c>
    </row>
    <row r="6" spans="1:25" x14ac:dyDescent="0.25">
      <c r="A6" s="162">
        <v>45804</v>
      </c>
      <c r="B6" s="152">
        <v>1</v>
      </c>
      <c r="C6" s="146">
        <f>B6+C5</f>
        <v>2</v>
      </c>
      <c r="D6" s="152">
        <v>3</v>
      </c>
      <c r="E6" s="146">
        <f>D6+E5</f>
        <v>4</v>
      </c>
      <c r="F6" s="152">
        <v>2</v>
      </c>
      <c r="G6" s="146">
        <f>F6+G5</f>
        <v>4</v>
      </c>
      <c r="H6" s="152"/>
      <c r="I6" s="146">
        <f>H6+I5</f>
        <v>0</v>
      </c>
      <c r="J6" s="152">
        <v>2</v>
      </c>
      <c r="K6" s="146">
        <f>J6+K5</f>
        <v>4</v>
      </c>
      <c r="L6" s="152">
        <v>2</v>
      </c>
      <c r="M6" s="146">
        <f>L6+M5</f>
        <v>3</v>
      </c>
      <c r="N6" s="152"/>
      <c r="O6" s="146">
        <f>N6+O5</f>
        <v>0</v>
      </c>
      <c r="P6" s="152"/>
      <c r="Q6" s="146">
        <f>P6+Q5</f>
        <v>0</v>
      </c>
      <c r="R6" s="152"/>
      <c r="S6" s="146">
        <f>R6+S5</f>
        <v>0</v>
      </c>
      <c r="T6" s="152"/>
      <c r="U6" s="146">
        <f>T6+U5</f>
        <v>0</v>
      </c>
      <c r="V6" s="152"/>
      <c r="W6" s="146">
        <f>V6+W5</f>
        <v>0</v>
      </c>
      <c r="X6" s="152"/>
      <c r="Y6" s="146">
        <f>X6+Y5</f>
        <v>0</v>
      </c>
    </row>
    <row r="7" spans="1:25" x14ac:dyDescent="0.25">
      <c r="A7" s="162">
        <v>45805</v>
      </c>
      <c r="B7" s="152">
        <v>1</v>
      </c>
      <c r="C7" s="146">
        <f t="shared" ref="C7:I70" si="0">B7+C6</f>
        <v>3</v>
      </c>
      <c r="D7" s="152">
        <v>3</v>
      </c>
      <c r="E7" s="146">
        <f t="shared" si="0"/>
        <v>7</v>
      </c>
      <c r="F7" s="152">
        <v>2</v>
      </c>
      <c r="G7" s="146">
        <f t="shared" si="0"/>
        <v>6</v>
      </c>
      <c r="H7" s="152"/>
      <c r="I7" s="146">
        <f t="shared" si="0"/>
        <v>0</v>
      </c>
      <c r="J7" s="152">
        <v>2</v>
      </c>
      <c r="K7" s="146">
        <f t="shared" ref="K7:K70" si="1">J7+K6</f>
        <v>6</v>
      </c>
      <c r="L7" s="152">
        <v>2</v>
      </c>
      <c r="M7" s="146">
        <f t="shared" ref="M7:M70" si="2">L7+M6</f>
        <v>5</v>
      </c>
      <c r="N7" s="152"/>
      <c r="O7" s="146">
        <f t="shared" ref="O7:O70" si="3">N7+O6</f>
        <v>0</v>
      </c>
      <c r="P7" s="152"/>
      <c r="Q7" s="146">
        <f t="shared" ref="Q7:Q70" si="4">P7+Q6</f>
        <v>0</v>
      </c>
      <c r="R7" s="152"/>
      <c r="S7" s="146">
        <f t="shared" ref="S7:S70" si="5">R7+S6</f>
        <v>0</v>
      </c>
      <c r="T7" s="152"/>
      <c r="U7" s="146">
        <f t="shared" ref="U7:U70" si="6">T7+U6</f>
        <v>0</v>
      </c>
      <c r="V7" s="152"/>
      <c r="W7" s="146">
        <f t="shared" ref="W7:W70" si="7">V7+W6</f>
        <v>0</v>
      </c>
      <c r="X7" s="152"/>
      <c r="Y7" s="146">
        <f t="shared" ref="Y7:Y70" si="8">X7+Y6</f>
        <v>0</v>
      </c>
    </row>
    <row r="8" spans="1:25" x14ac:dyDescent="0.25">
      <c r="A8" s="162">
        <v>45806</v>
      </c>
      <c r="B8" s="152"/>
      <c r="C8" s="146">
        <f t="shared" si="0"/>
        <v>3</v>
      </c>
      <c r="D8" s="152"/>
      <c r="E8" s="146">
        <f t="shared" si="0"/>
        <v>7</v>
      </c>
      <c r="F8" s="152"/>
      <c r="G8" s="146">
        <f t="shared" si="0"/>
        <v>6</v>
      </c>
      <c r="H8" s="152"/>
      <c r="I8" s="146">
        <f t="shared" si="0"/>
        <v>0</v>
      </c>
      <c r="J8" s="152"/>
      <c r="K8" s="146">
        <f t="shared" si="1"/>
        <v>6</v>
      </c>
      <c r="L8" s="152"/>
      <c r="M8" s="146">
        <f t="shared" si="2"/>
        <v>5</v>
      </c>
      <c r="N8" s="152"/>
      <c r="O8" s="146">
        <f t="shared" si="3"/>
        <v>0</v>
      </c>
      <c r="P8" s="152"/>
      <c r="Q8" s="146">
        <f t="shared" si="4"/>
        <v>0</v>
      </c>
      <c r="R8" s="152"/>
      <c r="S8" s="146">
        <f t="shared" si="5"/>
        <v>0</v>
      </c>
      <c r="T8" s="152"/>
      <c r="U8" s="146">
        <f t="shared" si="6"/>
        <v>0</v>
      </c>
      <c r="V8" s="152"/>
      <c r="W8" s="146">
        <f t="shared" si="7"/>
        <v>0</v>
      </c>
      <c r="X8" s="152"/>
      <c r="Y8" s="146">
        <f t="shared" si="8"/>
        <v>0</v>
      </c>
    </row>
    <row r="9" spans="1:25" x14ac:dyDescent="0.25">
      <c r="A9" s="162">
        <v>45807</v>
      </c>
      <c r="B9" s="152"/>
      <c r="C9" s="146">
        <f t="shared" si="0"/>
        <v>3</v>
      </c>
      <c r="D9" s="152"/>
      <c r="E9" s="146">
        <f t="shared" si="0"/>
        <v>7</v>
      </c>
      <c r="F9" s="152"/>
      <c r="G9" s="146">
        <f t="shared" si="0"/>
        <v>6</v>
      </c>
      <c r="H9" s="152"/>
      <c r="I9" s="146">
        <f t="shared" si="0"/>
        <v>0</v>
      </c>
      <c r="J9" s="152"/>
      <c r="K9" s="146">
        <f t="shared" si="1"/>
        <v>6</v>
      </c>
      <c r="L9" s="152"/>
      <c r="M9" s="146">
        <f t="shared" si="2"/>
        <v>5</v>
      </c>
      <c r="N9" s="152"/>
      <c r="O9" s="146">
        <f t="shared" si="3"/>
        <v>0</v>
      </c>
      <c r="P9" s="152"/>
      <c r="Q9" s="146">
        <f t="shared" si="4"/>
        <v>0</v>
      </c>
      <c r="R9" s="152"/>
      <c r="S9" s="146">
        <f t="shared" si="5"/>
        <v>0</v>
      </c>
      <c r="T9" s="152"/>
      <c r="U9" s="146">
        <f t="shared" si="6"/>
        <v>0</v>
      </c>
      <c r="V9" s="152"/>
      <c r="W9" s="146">
        <f t="shared" si="7"/>
        <v>0</v>
      </c>
      <c r="X9" s="152"/>
      <c r="Y9" s="146">
        <f t="shared" si="8"/>
        <v>0</v>
      </c>
    </row>
    <row r="10" spans="1:25" x14ac:dyDescent="0.25">
      <c r="A10" s="162">
        <v>45808</v>
      </c>
      <c r="B10" s="152"/>
      <c r="C10" s="146">
        <f t="shared" si="0"/>
        <v>3</v>
      </c>
      <c r="D10" s="152"/>
      <c r="E10" s="146">
        <f t="shared" si="0"/>
        <v>7</v>
      </c>
      <c r="F10" s="152"/>
      <c r="G10" s="146">
        <f t="shared" si="0"/>
        <v>6</v>
      </c>
      <c r="H10" s="152"/>
      <c r="I10" s="146">
        <f t="shared" si="0"/>
        <v>0</v>
      </c>
      <c r="J10" s="152"/>
      <c r="K10" s="146">
        <f t="shared" si="1"/>
        <v>6</v>
      </c>
      <c r="L10" s="152"/>
      <c r="M10" s="146">
        <f t="shared" si="2"/>
        <v>5</v>
      </c>
      <c r="N10" s="152"/>
      <c r="O10" s="146">
        <f t="shared" si="3"/>
        <v>0</v>
      </c>
      <c r="P10" s="152"/>
      <c r="Q10" s="146">
        <f t="shared" si="4"/>
        <v>0</v>
      </c>
      <c r="R10" s="152"/>
      <c r="S10" s="146">
        <f t="shared" si="5"/>
        <v>0</v>
      </c>
      <c r="T10" s="152"/>
      <c r="U10" s="146">
        <f t="shared" si="6"/>
        <v>0</v>
      </c>
      <c r="V10" s="152"/>
      <c r="W10" s="146">
        <f t="shared" si="7"/>
        <v>0</v>
      </c>
      <c r="X10" s="152"/>
      <c r="Y10" s="146">
        <f t="shared" si="8"/>
        <v>0</v>
      </c>
    </row>
    <row r="11" spans="1:25" x14ac:dyDescent="0.25">
      <c r="A11" s="162">
        <v>45809</v>
      </c>
      <c r="B11" s="152">
        <v>1</v>
      </c>
      <c r="C11" s="146">
        <f t="shared" si="0"/>
        <v>4</v>
      </c>
      <c r="D11" s="152">
        <v>2</v>
      </c>
      <c r="E11" s="146">
        <f t="shared" si="0"/>
        <v>9</v>
      </c>
      <c r="F11" s="152">
        <v>2</v>
      </c>
      <c r="G11" s="146">
        <f t="shared" si="0"/>
        <v>8</v>
      </c>
      <c r="H11" s="152"/>
      <c r="I11" s="146">
        <f t="shared" si="0"/>
        <v>0</v>
      </c>
      <c r="J11" s="152">
        <v>1</v>
      </c>
      <c r="K11" s="146">
        <f t="shared" si="1"/>
        <v>7</v>
      </c>
      <c r="L11" s="152">
        <v>1</v>
      </c>
      <c r="M11" s="146">
        <f t="shared" si="2"/>
        <v>6</v>
      </c>
      <c r="N11" s="152"/>
      <c r="O11" s="146">
        <f t="shared" si="3"/>
        <v>0</v>
      </c>
      <c r="P11" s="152"/>
      <c r="Q11" s="146">
        <f t="shared" si="4"/>
        <v>0</v>
      </c>
      <c r="R11" s="152"/>
      <c r="S11" s="146">
        <f t="shared" si="5"/>
        <v>0</v>
      </c>
      <c r="T11" s="152"/>
      <c r="U11" s="146">
        <f t="shared" si="6"/>
        <v>0</v>
      </c>
      <c r="V11" s="152"/>
      <c r="W11" s="146">
        <f t="shared" si="7"/>
        <v>0</v>
      </c>
      <c r="X11" s="152"/>
      <c r="Y11" s="146">
        <f t="shared" si="8"/>
        <v>0</v>
      </c>
    </row>
    <row r="12" spans="1:25" x14ac:dyDescent="0.25">
      <c r="A12" s="162">
        <v>45810</v>
      </c>
      <c r="B12" s="152">
        <v>1</v>
      </c>
      <c r="C12" s="146">
        <f t="shared" si="0"/>
        <v>5</v>
      </c>
      <c r="D12" s="152">
        <v>2</v>
      </c>
      <c r="E12" s="146">
        <f t="shared" si="0"/>
        <v>11</v>
      </c>
      <c r="F12" s="152">
        <v>3</v>
      </c>
      <c r="G12" s="146">
        <f t="shared" si="0"/>
        <v>11</v>
      </c>
      <c r="H12" s="152"/>
      <c r="I12" s="146">
        <f t="shared" si="0"/>
        <v>0</v>
      </c>
      <c r="J12" s="152">
        <v>2</v>
      </c>
      <c r="K12" s="146">
        <f t="shared" si="1"/>
        <v>9</v>
      </c>
      <c r="L12" s="152">
        <v>2</v>
      </c>
      <c r="M12" s="146">
        <f t="shared" si="2"/>
        <v>8</v>
      </c>
      <c r="N12" s="152"/>
      <c r="O12" s="146">
        <f t="shared" si="3"/>
        <v>0</v>
      </c>
      <c r="P12" s="152"/>
      <c r="Q12" s="146">
        <f t="shared" si="4"/>
        <v>0</v>
      </c>
      <c r="R12" s="152"/>
      <c r="S12" s="146">
        <f t="shared" si="5"/>
        <v>0</v>
      </c>
      <c r="T12" s="152"/>
      <c r="U12" s="146">
        <f t="shared" si="6"/>
        <v>0</v>
      </c>
      <c r="V12" s="152"/>
      <c r="W12" s="146">
        <f t="shared" si="7"/>
        <v>0</v>
      </c>
      <c r="X12" s="152"/>
      <c r="Y12" s="146">
        <f t="shared" si="8"/>
        <v>0</v>
      </c>
    </row>
    <row r="13" spans="1:25" x14ac:dyDescent="0.25">
      <c r="A13" s="162">
        <v>45811</v>
      </c>
      <c r="B13" s="152"/>
      <c r="C13" s="146">
        <f t="shared" si="0"/>
        <v>5</v>
      </c>
      <c r="D13" s="152"/>
      <c r="E13" s="146">
        <f t="shared" si="0"/>
        <v>11</v>
      </c>
      <c r="F13" s="152"/>
      <c r="G13" s="146">
        <f t="shared" si="0"/>
        <v>11</v>
      </c>
      <c r="H13" s="152"/>
      <c r="I13" s="146">
        <f t="shared" si="0"/>
        <v>0</v>
      </c>
      <c r="J13" s="152"/>
      <c r="K13" s="146">
        <f t="shared" si="1"/>
        <v>9</v>
      </c>
      <c r="L13" s="152"/>
      <c r="M13" s="146">
        <f t="shared" si="2"/>
        <v>8</v>
      </c>
      <c r="N13" s="152"/>
      <c r="O13" s="146">
        <f t="shared" si="3"/>
        <v>0</v>
      </c>
      <c r="P13" s="152"/>
      <c r="Q13" s="146">
        <f t="shared" si="4"/>
        <v>0</v>
      </c>
      <c r="R13" s="152"/>
      <c r="S13" s="146">
        <f t="shared" si="5"/>
        <v>0</v>
      </c>
      <c r="T13" s="152"/>
      <c r="U13" s="146">
        <f t="shared" si="6"/>
        <v>0</v>
      </c>
      <c r="V13" s="152"/>
      <c r="W13" s="146">
        <f t="shared" si="7"/>
        <v>0</v>
      </c>
      <c r="X13" s="152"/>
      <c r="Y13" s="146">
        <f t="shared" si="8"/>
        <v>0</v>
      </c>
    </row>
    <row r="14" spans="1:25" x14ac:dyDescent="0.25">
      <c r="A14" s="162">
        <v>45812</v>
      </c>
      <c r="B14" s="152">
        <v>1</v>
      </c>
      <c r="C14" s="146">
        <f t="shared" si="0"/>
        <v>6</v>
      </c>
      <c r="D14" s="152">
        <v>2</v>
      </c>
      <c r="E14" s="146">
        <f t="shared" si="0"/>
        <v>13</v>
      </c>
      <c r="F14" s="152">
        <v>3</v>
      </c>
      <c r="G14" s="146">
        <f t="shared" si="0"/>
        <v>14</v>
      </c>
      <c r="H14" s="152"/>
      <c r="I14" s="146">
        <f t="shared" si="0"/>
        <v>0</v>
      </c>
      <c r="J14" s="152">
        <v>2</v>
      </c>
      <c r="K14" s="146">
        <f t="shared" si="1"/>
        <v>11</v>
      </c>
      <c r="L14" s="152">
        <v>3</v>
      </c>
      <c r="M14" s="146">
        <f t="shared" si="2"/>
        <v>11</v>
      </c>
      <c r="N14" s="152">
        <v>1</v>
      </c>
      <c r="O14" s="146">
        <f t="shared" si="3"/>
        <v>1</v>
      </c>
      <c r="P14" s="152"/>
      <c r="Q14" s="146">
        <f t="shared" si="4"/>
        <v>0</v>
      </c>
      <c r="R14" s="152"/>
      <c r="S14" s="146">
        <f t="shared" si="5"/>
        <v>0</v>
      </c>
      <c r="T14" s="152"/>
      <c r="U14" s="146">
        <f t="shared" si="6"/>
        <v>0</v>
      </c>
      <c r="V14" s="152"/>
      <c r="W14" s="146">
        <f t="shared" si="7"/>
        <v>0</v>
      </c>
      <c r="X14" s="152"/>
      <c r="Y14" s="146">
        <f t="shared" si="8"/>
        <v>0</v>
      </c>
    </row>
    <row r="15" spans="1:25" x14ac:dyDescent="0.25">
      <c r="A15" s="162">
        <v>45813</v>
      </c>
      <c r="B15" s="152">
        <v>1</v>
      </c>
      <c r="C15" s="146">
        <f t="shared" si="0"/>
        <v>7</v>
      </c>
      <c r="D15" s="152">
        <v>3</v>
      </c>
      <c r="E15" s="146">
        <f t="shared" si="0"/>
        <v>16</v>
      </c>
      <c r="F15" s="152">
        <v>3</v>
      </c>
      <c r="G15" s="146">
        <f t="shared" si="0"/>
        <v>17</v>
      </c>
      <c r="H15" s="152"/>
      <c r="I15" s="146">
        <f t="shared" si="0"/>
        <v>0</v>
      </c>
      <c r="J15" s="152">
        <v>2</v>
      </c>
      <c r="K15" s="146">
        <f t="shared" si="1"/>
        <v>13</v>
      </c>
      <c r="L15" s="152">
        <v>2</v>
      </c>
      <c r="M15" s="146">
        <f t="shared" si="2"/>
        <v>13</v>
      </c>
      <c r="N15" s="152">
        <v>1</v>
      </c>
      <c r="O15" s="146">
        <f t="shared" si="3"/>
        <v>2</v>
      </c>
      <c r="P15" s="152"/>
      <c r="Q15" s="146">
        <f t="shared" si="4"/>
        <v>0</v>
      </c>
      <c r="R15" s="152"/>
      <c r="S15" s="146">
        <f t="shared" si="5"/>
        <v>0</v>
      </c>
      <c r="T15" s="152"/>
      <c r="U15" s="146">
        <f t="shared" si="6"/>
        <v>0</v>
      </c>
      <c r="V15" s="152"/>
      <c r="W15" s="146">
        <f t="shared" si="7"/>
        <v>0</v>
      </c>
      <c r="X15" s="152"/>
      <c r="Y15" s="146">
        <f t="shared" si="8"/>
        <v>0</v>
      </c>
    </row>
    <row r="16" spans="1:25" x14ac:dyDescent="0.25">
      <c r="A16" s="162">
        <v>45814</v>
      </c>
      <c r="B16" s="152">
        <v>1</v>
      </c>
      <c r="C16" s="146">
        <f t="shared" si="0"/>
        <v>8</v>
      </c>
      <c r="D16" s="152">
        <v>3</v>
      </c>
      <c r="E16" s="146">
        <f t="shared" si="0"/>
        <v>19</v>
      </c>
      <c r="F16" s="152">
        <v>4</v>
      </c>
      <c r="G16" s="146">
        <f t="shared" si="0"/>
        <v>21</v>
      </c>
      <c r="H16" s="152"/>
      <c r="I16" s="146">
        <f t="shared" si="0"/>
        <v>0</v>
      </c>
      <c r="J16" s="152">
        <v>3</v>
      </c>
      <c r="K16" s="146">
        <f t="shared" si="1"/>
        <v>16</v>
      </c>
      <c r="L16" s="152">
        <v>2</v>
      </c>
      <c r="M16" s="146">
        <f t="shared" si="2"/>
        <v>15</v>
      </c>
      <c r="N16" s="152"/>
      <c r="O16" s="146">
        <f t="shared" si="3"/>
        <v>2</v>
      </c>
      <c r="P16" s="152"/>
      <c r="Q16" s="146">
        <f t="shared" si="4"/>
        <v>0</v>
      </c>
      <c r="R16" s="152"/>
      <c r="S16" s="146">
        <f t="shared" si="5"/>
        <v>0</v>
      </c>
      <c r="T16" s="152"/>
      <c r="U16" s="146">
        <f t="shared" si="6"/>
        <v>0</v>
      </c>
      <c r="V16" s="152"/>
      <c r="W16" s="146">
        <f t="shared" si="7"/>
        <v>0</v>
      </c>
      <c r="X16" s="152"/>
      <c r="Y16" s="146">
        <f t="shared" si="8"/>
        <v>0</v>
      </c>
    </row>
    <row r="17" spans="1:25" x14ac:dyDescent="0.25">
      <c r="A17" s="162">
        <v>45815</v>
      </c>
      <c r="B17" s="152">
        <v>1</v>
      </c>
      <c r="C17" s="146">
        <f t="shared" si="0"/>
        <v>9</v>
      </c>
      <c r="D17" s="152">
        <v>3</v>
      </c>
      <c r="E17" s="146">
        <f t="shared" si="0"/>
        <v>22</v>
      </c>
      <c r="F17" s="152">
        <v>3</v>
      </c>
      <c r="G17" s="146">
        <f t="shared" si="0"/>
        <v>24</v>
      </c>
      <c r="H17" s="152"/>
      <c r="I17" s="146">
        <f t="shared" si="0"/>
        <v>0</v>
      </c>
      <c r="J17" s="152">
        <v>2</v>
      </c>
      <c r="K17" s="146">
        <f t="shared" si="1"/>
        <v>18</v>
      </c>
      <c r="L17" s="152">
        <v>2</v>
      </c>
      <c r="M17" s="146">
        <f t="shared" si="2"/>
        <v>17</v>
      </c>
      <c r="N17" s="152"/>
      <c r="O17" s="146">
        <f t="shared" si="3"/>
        <v>2</v>
      </c>
      <c r="P17" s="152"/>
      <c r="Q17" s="146">
        <f t="shared" si="4"/>
        <v>0</v>
      </c>
      <c r="R17" s="152"/>
      <c r="S17" s="146">
        <f t="shared" si="5"/>
        <v>0</v>
      </c>
      <c r="T17" s="152"/>
      <c r="U17" s="146">
        <f t="shared" si="6"/>
        <v>0</v>
      </c>
      <c r="V17" s="152"/>
      <c r="W17" s="146">
        <f t="shared" si="7"/>
        <v>0</v>
      </c>
      <c r="X17" s="152"/>
      <c r="Y17" s="146">
        <f t="shared" si="8"/>
        <v>0</v>
      </c>
    </row>
    <row r="18" spans="1:25" x14ac:dyDescent="0.25">
      <c r="A18" s="162">
        <v>45816</v>
      </c>
      <c r="B18" s="152">
        <v>1</v>
      </c>
      <c r="C18" s="146">
        <f t="shared" si="0"/>
        <v>10</v>
      </c>
      <c r="D18" s="152">
        <v>1</v>
      </c>
      <c r="E18" s="146">
        <f t="shared" si="0"/>
        <v>23</v>
      </c>
      <c r="F18" s="152">
        <v>2</v>
      </c>
      <c r="G18" s="146">
        <f t="shared" si="0"/>
        <v>26</v>
      </c>
      <c r="H18" s="152"/>
      <c r="I18" s="146">
        <f t="shared" si="0"/>
        <v>0</v>
      </c>
      <c r="J18" s="152">
        <v>2</v>
      </c>
      <c r="K18" s="146">
        <f t="shared" si="1"/>
        <v>20</v>
      </c>
      <c r="L18" s="152">
        <v>2</v>
      </c>
      <c r="M18" s="146">
        <f t="shared" si="2"/>
        <v>19</v>
      </c>
      <c r="N18" s="152"/>
      <c r="O18" s="146">
        <f t="shared" si="3"/>
        <v>2</v>
      </c>
      <c r="P18" s="152"/>
      <c r="Q18" s="146">
        <f t="shared" si="4"/>
        <v>0</v>
      </c>
      <c r="R18" s="152"/>
      <c r="S18" s="146">
        <f t="shared" si="5"/>
        <v>0</v>
      </c>
      <c r="T18" s="152"/>
      <c r="U18" s="146">
        <f t="shared" si="6"/>
        <v>0</v>
      </c>
      <c r="V18" s="152"/>
      <c r="W18" s="146">
        <f t="shared" si="7"/>
        <v>0</v>
      </c>
      <c r="X18" s="152"/>
      <c r="Y18" s="146">
        <f t="shared" si="8"/>
        <v>0</v>
      </c>
    </row>
    <row r="19" spans="1:25" x14ac:dyDescent="0.25">
      <c r="A19" s="162">
        <v>45817</v>
      </c>
      <c r="B19" s="152">
        <v>1</v>
      </c>
      <c r="C19" s="146">
        <f t="shared" si="0"/>
        <v>11</v>
      </c>
      <c r="D19" s="152">
        <v>2</v>
      </c>
      <c r="E19" s="146">
        <f t="shared" si="0"/>
        <v>25</v>
      </c>
      <c r="F19" s="152">
        <v>1</v>
      </c>
      <c r="G19" s="146">
        <f t="shared" si="0"/>
        <v>27</v>
      </c>
      <c r="H19" s="152"/>
      <c r="I19" s="146">
        <f t="shared" si="0"/>
        <v>0</v>
      </c>
      <c r="J19" s="152">
        <v>3</v>
      </c>
      <c r="K19" s="146">
        <f t="shared" si="1"/>
        <v>23</v>
      </c>
      <c r="L19" s="152">
        <v>3</v>
      </c>
      <c r="M19" s="146">
        <f t="shared" si="2"/>
        <v>22</v>
      </c>
      <c r="N19" s="152"/>
      <c r="O19" s="146">
        <f t="shared" si="3"/>
        <v>2</v>
      </c>
      <c r="P19" s="152"/>
      <c r="Q19" s="146">
        <f t="shared" si="4"/>
        <v>0</v>
      </c>
      <c r="R19" s="152"/>
      <c r="S19" s="146">
        <f t="shared" si="5"/>
        <v>0</v>
      </c>
      <c r="T19" s="152"/>
      <c r="U19" s="146">
        <f t="shared" si="6"/>
        <v>0</v>
      </c>
      <c r="V19" s="152"/>
      <c r="W19" s="146">
        <f t="shared" si="7"/>
        <v>0</v>
      </c>
      <c r="X19" s="152"/>
      <c r="Y19" s="146">
        <f t="shared" si="8"/>
        <v>0</v>
      </c>
    </row>
    <row r="20" spans="1:25" x14ac:dyDescent="0.25">
      <c r="A20" s="162">
        <v>45818</v>
      </c>
      <c r="B20" s="152"/>
      <c r="C20" s="146">
        <f t="shared" si="0"/>
        <v>11</v>
      </c>
      <c r="D20" s="152"/>
      <c r="E20" s="146">
        <f t="shared" si="0"/>
        <v>25</v>
      </c>
      <c r="F20" s="152"/>
      <c r="G20" s="146">
        <f t="shared" si="0"/>
        <v>27</v>
      </c>
      <c r="H20" s="152"/>
      <c r="I20" s="146">
        <f t="shared" si="0"/>
        <v>0</v>
      </c>
      <c r="J20" s="152"/>
      <c r="K20" s="146">
        <f t="shared" si="1"/>
        <v>23</v>
      </c>
      <c r="L20" s="152"/>
      <c r="M20" s="146">
        <f t="shared" si="2"/>
        <v>22</v>
      </c>
      <c r="N20" s="152"/>
      <c r="O20" s="146">
        <f t="shared" si="3"/>
        <v>2</v>
      </c>
      <c r="P20" s="152"/>
      <c r="Q20" s="146">
        <f t="shared" si="4"/>
        <v>0</v>
      </c>
      <c r="R20" s="152"/>
      <c r="S20" s="146">
        <f t="shared" si="5"/>
        <v>0</v>
      </c>
      <c r="T20" s="152"/>
      <c r="U20" s="146">
        <f t="shared" si="6"/>
        <v>0</v>
      </c>
      <c r="V20" s="152"/>
      <c r="W20" s="146">
        <f t="shared" si="7"/>
        <v>0</v>
      </c>
      <c r="X20" s="152"/>
      <c r="Y20" s="146">
        <f t="shared" si="8"/>
        <v>0</v>
      </c>
    </row>
    <row r="21" spans="1:25" x14ac:dyDescent="0.25">
      <c r="A21" s="162">
        <v>45819</v>
      </c>
      <c r="B21" s="152">
        <v>1</v>
      </c>
      <c r="C21" s="146">
        <f t="shared" si="0"/>
        <v>12</v>
      </c>
      <c r="D21" s="152">
        <v>2</v>
      </c>
      <c r="E21" s="146">
        <f t="shared" si="0"/>
        <v>27</v>
      </c>
      <c r="F21" s="152">
        <v>3</v>
      </c>
      <c r="G21" s="146">
        <f t="shared" si="0"/>
        <v>30</v>
      </c>
      <c r="H21" s="152"/>
      <c r="I21" s="146">
        <f t="shared" si="0"/>
        <v>0</v>
      </c>
      <c r="J21" s="152">
        <v>2</v>
      </c>
      <c r="K21" s="146">
        <f t="shared" si="1"/>
        <v>25</v>
      </c>
      <c r="L21" s="152">
        <v>2</v>
      </c>
      <c r="M21" s="146">
        <f t="shared" si="2"/>
        <v>24</v>
      </c>
      <c r="N21" s="152"/>
      <c r="O21" s="146">
        <f t="shared" si="3"/>
        <v>2</v>
      </c>
      <c r="P21" s="152"/>
      <c r="Q21" s="146">
        <f t="shared" si="4"/>
        <v>0</v>
      </c>
      <c r="R21" s="152"/>
      <c r="S21" s="146">
        <f t="shared" si="5"/>
        <v>0</v>
      </c>
      <c r="T21" s="152"/>
      <c r="U21" s="146">
        <f t="shared" si="6"/>
        <v>0</v>
      </c>
      <c r="V21" s="152"/>
      <c r="W21" s="146">
        <f t="shared" si="7"/>
        <v>0</v>
      </c>
      <c r="X21" s="152"/>
      <c r="Y21" s="146">
        <f t="shared" si="8"/>
        <v>0</v>
      </c>
    </row>
    <row r="22" spans="1:25" x14ac:dyDescent="0.25">
      <c r="A22" s="162">
        <v>45820</v>
      </c>
      <c r="B22" s="152">
        <v>1</v>
      </c>
      <c r="C22" s="146">
        <f t="shared" si="0"/>
        <v>13</v>
      </c>
      <c r="D22" s="152">
        <v>2</v>
      </c>
      <c r="E22" s="146">
        <f t="shared" si="0"/>
        <v>29</v>
      </c>
      <c r="F22" s="152">
        <v>1</v>
      </c>
      <c r="G22" s="146">
        <f t="shared" si="0"/>
        <v>31</v>
      </c>
      <c r="H22" s="152"/>
      <c r="I22" s="146">
        <f t="shared" si="0"/>
        <v>0</v>
      </c>
      <c r="J22" s="152">
        <v>2</v>
      </c>
      <c r="K22" s="146">
        <f t="shared" si="1"/>
        <v>27</v>
      </c>
      <c r="L22" s="152">
        <v>2</v>
      </c>
      <c r="M22" s="146">
        <f t="shared" si="2"/>
        <v>26</v>
      </c>
      <c r="N22" s="152"/>
      <c r="O22" s="146">
        <f t="shared" si="3"/>
        <v>2</v>
      </c>
      <c r="P22" s="152"/>
      <c r="Q22" s="146">
        <f t="shared" si="4"/>
        <v>0</v>
      </c>
      <c r="R22" s="152"/>
      <c r="S22" s="146">
        <f t="shared" si="5"/>
        <v>0</v>
      </c>
      <c r="T22" s="152"/>
      <c r="U22" s="146">
        <f t="shared" si="6"/>
        <v>0</v>
      </c>
      <c r="V22" s="152"/>
      <c r="W22" s="146">
        <f t="shared" si="7"/>
        <v>0</v>
      </c>
      <c r="X22" s="152"/>
      <c r="Y22" s="146">
        <f t="shared" si="8"/>
        <v>0</v>
      </c>
    </row>
    <row r="23" spans="1:25" x14ac:dyDescent="0.25">
      <c r="A23" s="162">
        <v>45821</v>
      </c>
      <c r="B23" s="152">
        <v>1</v>
      </c>
      <c r="C23" s="146">
        <f t="shared" si="0"/>
        <v>14</v>
      </c>
      <c r="D23" s="152">
        <v>3</v>
      </c>
      <c r="E23" s="146">
        <f t="shared" si="0"/>
        <v>32</v>
      </c>
      <c r="F23" s="152">
        <v>3</v>
      </c>
      <c r="G23" s="146">
        <f t="shared" si="0"/>
        <v>34</v>
      </c>
      <c r="H23" s="152"/>
      <c r="I23" s="146">
        <f t="shared" si="0"/>
        <v>0</v>
      </c>
      <c r="J23" s="152">
        <v>2</v>
      </c>
      <c r="K23" s="146">
        <f t="shared" si="1"/>
        <v>29</v>
      </c>
      <c r="L23" s="152">
        <v>3</v>
      </c>
      <c r="M23" s="146">
        <f t="shared" si="2"/>
        <v>29</v>
      </c>
      <c r="N23" s="152"/>
      <c r="O23" s="146">
        <f t="shared" si="3"/>
        <v>2</v>
      </c>
      <c r="P23" s="152"/>
      <c r="Q23" s="146">
        <f t="shared" si="4"/>
        <v>0</v>
      </c>
      <c r="R23" s="152"/>
      <c r="S23" s="146">
        <f t="shared" si="5"/>
        <v>0</v>
      </c>
      <c r="T23" s="152"/>
      <c r="U23" s="146">
        <f t="shared" si="6"/>
        <v>0</v>
      </c>
      <c r="V23" s="152"/>
      <c r="W23" s="146">
        <f t="shared" si="7"/>
        <v>0</v>
      </c>
      <c r="X23" s="152"/>
      <c r="Y23" s="146">
        <f t="shared" si="8"/>
        <v>0</v>
      </c>
    </row>
    <row r="24" spans="1:25" x14ac:dyDescent="0.25">
      <c r="A24" s="162">
        <v>45822</v>
      </c>
      <c r="B24" s="152">
        <v>1</v>
      </c>
      <c r="C24" s="146">
        <f t="shared" si="0"/>
        <v>15</v>
      </c>
      <c r="D24" s="152">
        <v>2</v>
      </c>
      <c r="E24" s="146">
        <f t="shared" si="0"/>
        <v>34</v>
      </c>
      <c r="F24" s="152">
        <v>3</v>
      </c>
      <c r="G24" s="146">
        <f t="shared" si="0"/>
        <v>37</v>
      </c>
      <c r="H24" s="152"/>
      <c r="I24" s="146">
        <f t="shared" si="0"/>
        <v>0</v>
      </c>
      <c r="J24" s="152">
        <v>2</v>
      </c>
      <c r="K24" s="146">
        <f t="shared" si="1"/>
        <v>31</v>
      </c>
      <c r="L24" s="152">
        <v>2</v>
      </c>
      <c r="M24" s="146">
        <f t="shared" si="2"/>
        <v>31</v>
      </c>
      <c r="N24" s="152"/>
      <c r="O24" s="146">
        <f t="shared" si="3"/>
        <v>2</v>
      </c>
      <c r="P24" s="152"/>
      <c r="Q24" s="146">
        <f t="shared" si="4"/>
        <v>0</v>
      </c>
      <c r="R24" s="152"/>
      <c r="S24" s="146">
        <f t="shared" si="5"/>
        <v>0</v>
      </c>
      <c r="T24" s="152"/>
      <c r="U24" s="146">
        <f t="shared" si="6"/>
        <v>0</v>
      </c>
      <c r="V24" s="152"/>
      <c r="W24" s="146">
        <f t="shared" si="7"/>
        <v>0</v>
      </c>
      <c r="X24" s="152"/>
      <c r="Y24" s="146">
        <f t="shared" si="8"/>
        <v>0</v>
      </c>
    </row>
    <row r="25" spans="1:25" x14ac:dyDescent="0.25">
      <c r="A25" s="162">
        <v>45823</v>
      </c>
      <c r="B25" s="152">
        <v>1</v>
      </c>
      <c r="C25" s="146">
        <f t="shared" si="0"/>
        <v>16</v>
      </c>
      <c r="D25" s="152">
        <v>2</v>
      </c>
      <c r="E25" s="146">
        <f t="shared" si="0"/>
        <v>36</v>
      </c>
      <c r="F25" s="152">
        <v>3</v>
      </c>
      <c r="G25" s="146">
        <f t="shared" si="0"/>
        <v>40</v>
      </c>
      <c r="H25" s="152"/>
      <c r="I25" s="146">
        <f t="shared" si="0"/>
        <v>0</v>
      </c>
      <c r="J25" s="152">
        <v>2</v>
      </c>
      <c r="K25" s="146">
        <f t="shared" si="1"/>
        <v>33</v>
      </c>
      <c r="L25" s="152">
        <v>2</v>
      </c>
      <c r="M25" s="146">
        <f t="shared" si="2"/>
        <v>33</v>
      </c>
      <c r="N25" s="152"/>
      <c r="O25" s="146">
        <f t="shared" si="3"/>
        <v>2</v>
      </c>
      <c r="P25" s="152"/>
      <c r="Q25" s="146">
        <f t="shared" si="4"/>
        <v>0</v>
      </c>
      <c r="R25" s="152"/>
      <c r="S25" s="146">
        <f t="shared" si="5"/>
        <v>0</v>
      </c>
      <c r="T25" s="152"/>
      <c r="U25" s="146">
        <f t="shared" si="6"/>
        <v>0</v>
      </c>
      <c r="V25" s="152"/>
      <c r="W25" s="146">
        <f t="shared" si="7"/>
        <v>0</v>
      </c>
      <c r="X25" s="152"/>
      <c r="Y25" s="146">
        <f t="shared" si="8"/>
        <v>0</v>
      </c>
    </row>
    <row r="26" spans="1:25" x14ac:dyDescent="0.25">
      <c r="A26" s="162">
        <v>45824</v>
      </c>
      <c r="B26" s="152">
        <v>1</v>
      </c>
      <c r="C26" s="146">
        <f t="shared" si="0"/>
        <v>17</v>
      </c>
      <c r="D26" s="152">
        <v>1</v>
      </c>
      <c r="E26" s="146">
        <f t="shared" si="0"/>
        <v>37</v>
      </c>
      <c r="F26" s="152">
        <v>2</v>
      </c>
      <c r="G26" s="146">
        <f t="shared" si="0"/>
        <v>42</v>
      </c>
      <c r="H26" s="152"/>
      <c r="I26" s="146">
        <f t="shared" si="0"/>
        <v>0</v>
      </c>
      <c r="J26" s="152">
        <v>2</v>
      </c>
      <c r="K26" s="146">
        <f t="shared" si="1"/>
        <v>35</v>
      </c>
      <c r="L26" s="152">
        <v>2</v>
      </c>
      <c r="M26" s="146">
        <f t="shared" si="2"/>
        <v>35</v>
      </c>
      <c r="N26" s="152"/>
      <c r="O26" s="146">
        <f t="shared" si="3"/>
        <v>2</v>
      </c>
      <c r="P26" s="152"/>
      <c r="Q26" s="146">
        <f t="shared" si="4"/>
        <v>0</v>
      </c>
      <c r="R26" s="152"/>
      <c r="S26" s="146">
        <f t="shared" si="5"/>
        <v>0</v>
      </c>
      <c r="T26" s="152"/>
      <c r="U26" s="146">
        <f t="shared" si="6"/>
        <v>0</v>
      </c>
      <c r="V26" s="152"/>
      <c r="W26" s="146">
        <f t="shared" si="7"/>
        <v>0</v>
      </c>
      <c r="X26" s="152"/>
      <c r="Y26" s="146">
        <f t="shared" si="8"/>
        <v>0</v>
      </c>
    </row>
    <row r="27" spans="1:25" x14ac:dyDescent="0.25">
      <c r="A27" s="162">
        <v>45825</v>
      </c>
      <c r="B27" s="152"/>
      <c r="C27" s="146">
        <f t="shared" si="0"/>
        <v>17</v>
      </c>
      <c r="D27" s="152"/>
      <c r="E27" s="146">
        <f t="shared" si="0"/>
        <v>37</v>
      </c>
      <c r="F27" s="152"/>
      <c r="G27" s="146">
        <f t="shared" si="0"/>
        <v>42</v>
      </c>
      <c r="H27" s="152"/>
      <c r="I27" s="146">
        <f t="shared" si="0"/>
        <v>0</v>
      </c>
      <c r="J27" s="152"/>
      <c r="K27" s="146">
        <f t="shared" si="1"/>
        <v>35</v>
      </c>
      <c r="L27" s="152"/>
      <c r="M27" s="146">
        <f t="shared" si="2"/>
        <v>35</v>
      </c>
      <c r="N27" s="152"/>
      <c r="O27" s="146">
        <f t="shared" si="3"/>
        <v>2</v>
      </c>
      <c r="P27" s="152"/>
      <c r="Q27" s="146">
        <f t="shared" si="4"/>
        <v>0</v>
      </c>
      <c r="R27" s="152"/>
      <c r="S27" s="146">
        <f t="shared" si="5"/>
        <v>0</v>
      </c>
      <c r="T27" s="152"/>
      <c r="U27" s="146">
        <f t="shared" si="6"/>
        <v>0</v>
      </c>
      <c r="V27" s="152"/>
      <c r="W27" s="146">
        <f t="shared" si="7"/>
        <v>0</v>
      </c>
      <c r="X27" s="152"/>
      <c r="Y27" s="146">
        <f t="shared" si="8"/>
        <v>0</v>
      </c>
    </row>
    <row r="28" spans="1:25" x14ac:dyDescent="0.25">
      <c r="A28" s="162">
        <v>45826</v>
      </c>
      <c r="B28" s="152"/>
      <c r="C28" s="146">
        <f t="shared" si="0"/>
        <v>17</v>
      </c>
      <c r="D28" s="152"/>
      <c r="E28" s="146">
        <f t="shared" si="0"/>
        <v>37</v>
      </c>
      <c r="F28" s="152"/>
      <c r="G28" s="146">
        <f t="shared" si="0"/>
        <v>42</v>
      </c>
      <c r="H28" s="152"/>
      <c r="I28" s="146">
        <f t="shared" si="0"/>
        <v>0</v>
      </c>
      <c r="J28" s="152"/>
      <c r="K28" s="146">
        <f t="shared" si="1"/>
        <v>35</v>
      </c>
      <c r="L28" s="152"/>
      <c r="M28" s="146">
        <f t="shared" si="2"/>
        <v>35</v>
      </c>
      <c r="N28" s="152"/>
      <c r="O28" s="146">
        <f t="shared" si="3"/>
        <v>2</v>
      </c>
      <c r="P28" s="152"/>
      <c r="Q28" s="146">
        <f t="shared" si="4"/>
        <v>0</v>
      </c>
      <c r="R28" s="152"/>
      <c r="S28" s="146">
        <f t="shared" si="5"/>
        <v>0</v>
      </c>
      <c r="T28" s="152"/>
      <c r="U28" s="146">
        <f t="shared" si="6"/>
        <v>0</v>
      </c>
      <c r="V28" s="152"/>
      <c r="W28" s="146">
        <f t="shared" si="7"/>
        <v>0</v>
      </c>
      <c r="X28" s="152"/>
      <c r="Y28" s="146">
        <f t="shared" si="8"/>
        <v>0</v>
      </c>
    </row>
    <row r="29" spans="1:25" x14ac:dyDescent="0.25">
      <c r="A29" s="162">
        <v>45827</v>
      </c>
      <c r="B29" s="152">
        <v>1</v>
      </c>
      <c r="C29" s="146">
        <f t="shared" si="0"/>
        <v>18</v>
      </c>
      <c r="D29" s="152">
        <v>2</v>
      </c>
      <c r="E29" s="146">
        <f t="shared" si="0"/>
        <v>39</v>
      </c>
      <c r="F29" s="152">
        <v>2</v>
      </c>
      <c r="G29" s="146">
        <f t="shared" si="0"/>
        <v>44</v>
      </c>
      <c r="H29" s="152"/>
      <c r="I29" s="146">
        <f t="shared" si="0"/>
        <v>0</v>
      </c>
      <c r="J29" s="152">
        <v>3</v>
      </c>
      <c r="K29" s="146">
        <f t="shared" si="1"/>
        <v>38</v>
      </c>
      <c r="L29" s="152">
        <v>3</v>
      </c>
      <c r="M29" s="146">
        <f t="shared" si="2"/>
        <v>38</v>
      </c>
      <c r="N29" s="152"/>
      <c r="O29" s="146">
        <f t="shared" si="3"/>
        <v>2</v>
      </c>
      <c r="P29" s="152"/>
      <c r="Q29" s="146">
        <f t="shared" si="4"/>
        <v>0</v>
      </c>
      <c r="R29" s="152"/>
      <c r="S29" s="146">
        <f t="shared" si="5"/>
        <v>0</v>
      </c>
      <c r="T29" s="152"/>
      <c r="U29" s="146">
        <f t="shared" si="6"/>
        <v>0</v>
      </c>
      <c r="V29" s="152"/>
      <c r="W29" s="146">
        <f t="shared" si="7"/>
        <v>0</v>
      </c>
      <c r="X29" s="152"/>
      <c r="Y29" s="146">
        <f t="shared" si="8"/>
        <v>0</v>
      </c>
    </row>
    <row r="30" spans="1:25" x14ac:dyDescent="0.25">
      <c r="A30" s="162">
        <v>45828</v>
      </c>
      <c r="B30" s="152"/>
      <c r="C30" s="146">
        <f t="shared" si="0"/>
        <v>18</v>
      </c>
      <c r="D30" s="152"/>
      <c r="E30" s="146">
        <f t="shared" si="0"/>
        <v>39</v>
      </c>
      <c r="F30" s="152"/>
      <c r="G30" s="146">
        <f t="shared" si="0"/>
        <v>44</v>
      </c>
      <c r="H30" s="152"/>
      <c r="I30" s="146">
        <f t="shared" si="0"/>
        <v>0</v>
      </c>
      <c r="J30" s="152"/>
      <c r="K30" s="146">
        <f t="shared" si="1"/>
        <v>38</v>
      </c>
      <c r="L30" s="152"/>
      <c r="M30" s="146">
        <f t="shared" si="2"/>
        <v>38</v>
      </c>
      <c r="N30" s="152"/>
      <c r="O30" s="146">
        <f t="shared" si="3"/>
        <v>2</v>
      </c>
      <c r="P30" s="152"/>
      <c r="Q30" s="146">
        <f t="shared" si="4"/>
        <v>0</v>
      </c>
      <c r="R30" s="152"/>
      <c r="S30" s="146">
        <f t="shared" si="5"/>
        <v>0</v>
      </c>
      <c r="T30" s="152"/>
      <c r="U30" s="146">
        <f t="shared" si="6"/>
        <v>0</v>
      </c>
      <c r="V30" s="152"/>
      <c r="W30" s="146">
        <f t="shared" si="7"/>
        <v>0</v>
      </c>
      <c r="X30" s="152"/>
      <c r="Y30" s="146">
        <f t="shared" si="8"/>
        <v>0</v>
      </c>
    </row>
    <row r="31" spans="1:25" x14ac:dyDescent="0.25">
      <c r="A31" s="162">
        <v>45829</v>
      </c>
      <c r="B31" s="152"/>
      <c r="C31" s="146">
        <f t="shared" si="0"/>
        <v>18</v>
      </c>
      <c r="D31" s="152"/>
      <c r="E31" s="146">
        <f t="shared" si="0"/>
        <v>39</v>
      </c>
      <c r="F31" s="152"/>
      <c r="G31" s="146">
        <f t="shared" si="0"/>
        <v>44</v>
      </c>
      <c r="H31" s="152"/>
      <c r="I31" s="146">
        <f t="shared" si="0"/>
        <v>0</v>
      </c>
      <c r="J31" s="152"/>
      <c r="K31" s="146">
        <f t="shared" si="1"/>
        <v>38</v>
      </c>
      <c r="L31" s="152"/>
      <c r="M31" s="146">
        <f t="shared" si="2"/>
        <v>38</v>
      </c>
      <c r="N31" s="152"/>
      <c r="O31" s="146">
        <f t="shared" si="3"/>
        <v>2</v>
      </c>
      <c r="P31" s="152"/>
      <c r="Q31" s="146">
        <f t="shared" si="4"/>
        <v>0</v>
      </c>
      <c r="R31" s="152"/>
      <c r="S31" s="146">
        <f t="shared" si="5"/>
        <v>0</v>
      </c>
      <c r="T31" s="152"/>
      <c r="U31" s="146">
        <f t="shared" si="6"/>
        <v>0</v>
      </c>
      <c r="V31" s="152"/>
      <c r="W31" s="146">
        <f t="shared" si="7"/>
        <v>0</v>
      </c>
      <c r="X31" s="152"/>
      <c r="Y31" s="146">
        <f t="shared" si="8"/>
        <v>0</v>
      </c>
    </row>
    <row r="32" spans="1:25" x14ac:dyDescent="0.25">
      <c r="A32" s="162">
        <v>45830</v>
      </c>
      <c r="B32" s="152"/>
      <c r="C32" s="146">
        <f t="shared" si="0"/>
        <v>18</v>
      </c>
      <c r="D32" s="152"/>
      <c r="E32" s="146">
        <f t="shared" si="0"/>
        <v>39</v>
      </c>
      <c r="F32" s="152"/>
      <c r="G32" s="146">
        <f t="shared" si="0"/>
        <v>44</v>
      </c>
      <c r="H32" s="152"/>
      <c r="I32" s="146">
        <f t="shared" si="0"/>
        <v>0</v>
      </c>
      <c r="J32" s="152"/>
      <c r="K32" s="146">
        <f t="shared" si="1"/>
        <v>38</v>
      </c>
      <c r="L32" s="152"/>
      <c r="M32" s="146">
        <f t="shared" si="2"/>
        <v>38</v>
      </c>
      <c r="N32" s="152"/>
      <c r="O32" s="146">
        <f t="shared" si="3"/>
        <v>2</v>
      </c>
      <c r="P32" s="152"/>
      <c r="Q32" s="146">
        <f t="shared" si="4"/>
        <v>0</v>
      </c>
      <c r="R32" s="152"/>
      <c r="S32" s="146">
        <f t="shared" si="5"/>
        <v>0</v>
      </c>
      <c r="T32" s="152"/>
      <c r="U32" s="146">
        <f t="shared" si="6"/>
        <v>0</v>
      </c>
      <c r="V32" s="152"/>
      <c r="W32" s="146">
        <f t="shared" si="7"/>
        <v>0</v>
      </c>
      <c r="X32" s="152"/>
      <c r="Y32" s="146">
        <f t="shared" si="8"/>
        <v>0</v>
      </c>
    </row>
    <row r="33" spans="1:25" x14ac:dyDescent="0.25">
      <c r="A33" s="162">
        <v>45831</v>
      </c>
      <c r="B33" s="152">
        <v>1</v>
      </c>
      <c r="C33" s="146">
        <f t="shared" si="0"/>
        <v>19</v>
      </c>
      <c r="D33" s="152">
        <v>2</v>
      </c>
      <c r="E33" s="146">
        <f t="shared" si="0"/>
        <v>41</v>
      </c>
      <c r="F33" s="152">
        <v>2</v>
      </c>
      <c r="G33" s="146">
        <f t="shared" si="0"/>
        <v>46</v>
      </c>
      <c r="H33" s="152"/>
      <c r="I33" s="146">
        <f t="shared" si="0"/>
        <v>0</v>
      </c>
      <c r="J33" s="152">
        <v>2</v>
      </c>
      <c r="K33" s="146">
        <f t="shared" si="1"/>
        <v>40</v>
      </c>
      <c r="L33" s="152">
        <v>2</v>
      </c>
      <c r="M33" s="146">
        <f t="shared" si="2"/>
        <v>40</v>
      </c>
      <c r="N33" s="152"/>
      <c r="O33" s="146">
        <f t="shared" si="3"/>
        <v>2</v>
      </c>
      <c r="P33" s="152"/>
      <c r="Q33" s="146">
        <f t="shared" si="4"/>
        <v>0</v>
      </c>
      <c r="R33" s="152"/>
      <c r="S33" s="146">
        <f t="shared" si="5"/>
        <v>0</v>
      </c>
      <c r="T33" s="152"/>
      <c r="U33" s="146">
        <f t="shared" si="6"/>
        <v>0</v>
      </c>
      <c r="V33" s="152"/>
      <c r="W33" s="146">
        <f t="shared" si="7"/>
        <v>0</v>
      </c>
      <c r="X33" s="152"/>
      <c r="Y33" s="146">
        <f t="shared" si="8"/>
        <v>0</v>
      </c>
    </row>
    <row r="34" spans="1:25" x14ac:dyDescent="0.25">
      <c r="A34" s="162">
        <v>45832</v>
      </c>
      <c r="B34" s="152">
        <v>1</v>
      </c>
      <c r="C34" s="146">
        <f t="shared" si="0"/>
        <v>20</v>
      </c>
      <c r="D34" s="152">
        <v>3</v>
      </c>
      <c r="E34" s="146">
        <f t="shared" si="0"/>
        <v>44</v>
      </c>
      <c r="F34" s="152">
        <v>2</v>
      </c>
      <c r="G34" s="146">
        <f t="shared" si="0"/>
        <v>48</v>
      </c>
      <c r="H34" s="152"/>
      <c r="I34" s="146">
        <f t="shared" si="0"/>
        <v>0</v>
      </c>
      <c r="J34" s="152">
        <v>2</v>
      </c>
      <c r="K34" s="146">
        <f t="shared" si="1"/>
        <v>42</v>
      </c>
      <c r="L34" s="152">
        <v>3</v>
      </c>
      <c r="M34" s="146">
        <f t="shared" si="2"/>
        <v>43</v>
      </c>
      <c r="N34" s="152">
        <v>1</v>
      </c>
      <c r="O34" s="146">
        <f t="shared" si="3"/>
        <v>3</v>
      </c>
      <c r="P34" s="152"/>
      <c r="Q34" s="146">
        <f t="shared" si="4"/>
        <v>0</v>
      </c>
      <c r="R34" s="152"/>
      <c r="S34" s="146">
        <f t="shared" si="5"/>
        <v>0</v>
      </c>
      <c r="T34" s="152"/>
      <c r="U34" s="146">
        <f t="shared" si="6"/>
        <v>0</v>
      </c>
      <c r="V34" s="152"/>
      <c r="W34" s="146">
        <f t="shared" si="7"/>
        <v>0</v>
      </c>
      <c r="X34" s="152"/>
      <c r="Y34" s="146">
        <f t="shared" si="8"/>
        <v>0</v>
      </c>
    </row>
    <row r="35" spans="1:25" x14ac:dyDescent="0.25">
      <c r="A35" s="162">
        <v>45833</v>
      </c>
      <c r="B35" s="152"/>
      <c r="C35" s="146">
        <f t="shared" si="0"/>
        <v>20</v>
      </c>
      <c r="D35" s="152"/>
      <c r="E35" s="146">
        <f t="shared" si="0"/>
        <v>44</v>
      </c>
      <c r="F35" s="152"/>
      <c r="G35" s="146">
        <f t="shared" si="0"/>
        <v>48</v>
      </c>
      <c r="H35" s="152"/>
      <c r="I35" s="146">
        <f t="shared" si="0"/>
        <v>0</v>
      </c>
      <c r="J35" s="152"/>
      <c r="K35" s="146">
        <f t="shared" si="1"/>
        <v>42</v>
      </c>
      <c r="L35" s="152"/>
      <c r="M35" s="146">
        <f t="shared" si="2"/>
        <v>43</v>
      </c>
      <c r="N35" s="152"/>
      <c r="O35" s="146">
        <f t="shared" si="3"/>
        <v>3</v>
      </c>
      <c r="P35" s="152"/>
      <c r="Q35" s="146">
        <f t="shared" si="4"/>
        <v>0</v>
      </c>
      <c r="R35" s="152"/>
      <c r="S35" s="146">
        <f t="shared" si="5"/>
        <v>0</v>
      </c>
      <c r="T35" s="152"/>
      <c r="U35" s="146">
        <f t="shared" si="6"/>
        <v>0</v>
      </c>
      <c r="V35" s="152"/>
      <c r="W35" s="146">
        <f t="shared" si="7"/>
        <v>0</v>
      </c>
      <c r="X35" s="152"/>
      <c r="Y35" s="146">
        <f t="shared" si="8"/>
        <v>0</v>
      </c>
    </row>
    <row r="36" spans="1:25" x14ac:dyDescent="0.25">
      <c r="A36" s="162">
        <v>45834</v>
      </c>
      <c r="B36" s="152"/>
      <c r="C36" s="146">
        <f t="shared" si="0"/>
        <v>20</v>
      </c>
      <c r="D36" s="152"/>
      <c r="E36" s="146">
        <f t="shared" si="0"/>
        <v>44</v>
      </c>
      <c r="F36" s="152"/>
      <c r="G36" s="146">
        <f t="shared" si="0"/>
        <v>48</v>
      </c>
      <c r="H36" s="152"/>
      <c r="I36" s="146">
        <f t="shared" si="0"/>
        <v>0</v>
      </c>
      <c r="J36" s="152"/>
      <c r="K36" s="146">
        <f t="shared" si="1"/>
        <v>42</v>
      </c>
      <c r="L36" s="152"/>
      <c r="M36" s="146">
        <f t="shared" si="2"/>
        <v>43</v>
      </c>
      <c r="N36" s="152"/>
      <c r="O36" s="146">
        <f t="shared" si="3"/>
        <v>3</v>
      </c>
      <c r="P36" s="152"/>
      <c r="Q36" s="146">
        <f t="shared" si="4"/>
        <v>0</v>
      </c>
      <c r="R36" s="152"/>
      <c r="S36" s="146">
        <f t="shared" si="5"/>
        <v>0</v>
      </c>
      <c r="T36" s="152"/>
      <c r="U36" s="146">
        <f t="shared" si="6"/>
        <v>0</v>
      </c>
      <c r="V36" s="152"/>
      <c r="W36" s="146">
        <f t="shared" si="7"/>
        <v>0</v>
      </c>
      <c r="X36" s="152"/>
      <c r="Y36" s="146">
        <f t="shared" si="8"/>
        <v>0</v>
      </c>
    </row>
    <row r="37" spans="1:25" x14ac:dyDescent="0.25">
      <c r="A37" s="162">
        <v>45835</v>
      </c>
      <c r="B37" s="152"/>
      <c r="C37" s="146">
        <f t="shared" si="0"/>
        <v>20</v>
      </c>
      <c r="D37" s="152"/>
      <c r="E37" s="146">
        <f t="shared" si="0"/>
        <v>44</v>
      </c>
      <c r="F37" s="152"/>
      <c r="G37" s="146">
        <f t="shared" si="0"/>
        <v>48</v>
      </c>
      <c r="H37" s="152"/>
      <c r="I37" s="146">
        <f t="shared" si="0"/>
        <v>0</v>
      </c>
      <c r="J37" s="152"/>
      <c r="K37" s="146">
        <f t="shared" si="1"/>
        <v>42</v>
      </c>
      <c r="L37" s="152"/>
      <c r="M37" s="146">
        <f t="shared" si="2"/>
        <v>43</v>
      </c>
      <c r="N37" s="152"/>
      <c r="O37" s="146">
        <f t="shared" si="3"/>
        <v>3</v>
      </c>
      <c r="P37" s="152"/>
      <c r="Q37" s="146">
        <f t="shared" si="4"/>
        <v>0</v>
      </c>
      <c r="R37" s="152"/>
      <c r="S37" s="146">
        <f t="shared" si="5"/>
        <v>0</v>
      </c>
      <c r="T37" s="152"/>
      <c r="U37" s="146">
        <f t="shared" si="6"/>
        <v>0</v>
      </c>
      <c r="V37" s="152"/>
      <c r="W37" s="146">
        <f t="shared" si="7"/>
        <v>0</v>
      </c>
      <c r="X37" s="152"/>
      <c r="Y37" s="146">
        <f t="shared" si="8"/>
        <v>0</v>
      </c>
    </row>
    <row r="38" spans="1:25" x14ac:dyDescent="0.25">
      <c r="A38" s="162">
        <v>45836</v>
      </c>
      <c r="B38" s="152"/>
      <c r="C38" s="146">
        <f t="shared" si="0"/>
        <v>20</v>
      </c>
      <c r="D38" s="152"/>
      <c r="E38" s="146">
        <f t="shared" si="0"/>
        <v>44</v>
      </c>
      <c r="F38" s="152"/>
      <c r="G38" s="146">
        <f t="shared" si="0"/>
        <v>48</v>
      </c>
      <c r="H38" s="152"/>
      <c r="I38" s="146">
        <f t="shared" si="0"/>
        <v>0</v>
      </c>
      <c r="J38" s="152"/>
      <c r="K38" s="146">
        <f t="shared" si="1"/>
        <v>42</v>
      </c>
      <c r="L38" s="152"/>
      <c r="M38" s="146">
        <f t="shared" si="2"/>
        <v>43</v>
      </c>
      <c r="N38" s="152"/>
      <c r="O38" s="146">
        <f t="shared" si="3"/>
        <v>3</v>
      </c>
      <c r="P38" s="152"/>
      <c r="Q38" s="146">
        <f t="shared" si="4"/>
        <v>0</v>
      </c>
      <c r="R38" s="152"/>
      <c r="S38" s="146">
        <f t="shared" si="5"/>
        <v>0</v>
      </c>
      <c r="T38" s="152"/>
      <c r="U38" s="146">
        <f t="shared" si="6"/>
        <v>0</v>
      </c>
      <c r="V38" s="152"/>
      <c r="W38" s="146">
        <f t="shared" si="7"/>
        <v>0</v>
      </c>
      <c r="X38" s="152"/>
      <c r="Y38" s="146">
        <f t="shared" si="8"/>
        <v>0</v>
      </c>
    </row>
    <row r="39" spans="1:25" x14ac:dyDescent="0.25">
      <c r="A39" s="162">
        <v>45837</v>
      </c>
      <c r="B39" s="152"/>
      <c r="C39" s="146">
        <f t="shared" si="0"/>
        <v>20</v>
      </c>
      <c r="D39" s="152"/>
      <c r="E39" s="146">
        <f t="shared" si="0"/>
        <v>44</v>
      </c>
      <c r="F39" s="152"/>
      <c r="G39" s="146">
        <f t="shared" si="0"/>
        <v>48</v>
      </c>
      <c r="H39" s="152"/>
      <c r="I39" s="146">
        <f t="shared" si="0"/>
        <v>0</v>
      </c>
      <c r="J39" s="152"/>
      <c r="K39" s="146">
        <f t="shared" si="1"/>
        <v>42</v>
      </c>
      <c r="L39" s="152"/>
      <c r="M39" s="146">
        <f t="shared" si="2"/>
        <v>43</v>
      </c>
      <c r="N39" s="152"/>
      <c r="O39" s="146">
        <f t="shared" si="3"/>
        <v>3</v>
      </c>
      <c r="P39" s="152"/>
      <c r="Q39" s="146">
        <f t="shared" si="4"/>
        <v>0</v>
      </c>
      <c r="R39" s="152"/>
      <c r="S39" s="146">
        <f t="shared" si="5"/>
        <v>0</v>
      </c>
      <c r="T39" s="152"/>
      <c r="U39" s="146">
        <f t="shared" si="6"/>
        <v>0</v>
      </c>
      <c r="V39" s="152"/>
      <c r="W39" s="146">
        <f t="shared" si="7"/>
        <v>0</v>
      </c>
      <c r="X39" s="152"/>
      <c r="Y39" s="146">
        <f t="shared" si="8"/>
        <v>0</v>
      </c>
    </row>
    <row r="40" spans="1:25" x14ac:dyDescent="0.25">
      <c r="A40" s="162">
        <v>45838</v>
      </c>
      <c r="B40" s="152"/>
      <c r="C40" s="146">
        <f t="shared" si="0"/>
        <v>20</v>
      </c>
      <c r="D40" s="152"/>
      <c r="E40" s="146">
        <f t="shared" si="0"/>
        <v>44</v>
      </c>
      <c r="F40" s="152"/>
      <c r="G40" s="146">
        <f t="shared" si="0"/>
        <v>48</v>
      </c>
      <c r="H40" s="152"/>
      <c r="I40" s="146">
        <f t="shared" si="0"/>
        <v>0</v>
      </c>
      <c r="J40" s="152"/>
      <c r="K40" s="146">
        <f t="shared" si="1"/>
        <v>42</v>
      </c>
      <c r="L40" s="152"/>
      <c r="M40" s="146">
        <f t="shared" si="2"/>
        <v>43</v>
      </c>
      <c r="N40" s="152"/>
      <c r="O40" s="146">
        <f t="shared" si="3"/>
        <v>3</v>
      </c>
      <c r="P40" s="152"/>
      <c r="Q40" s="146">
        <f t="shared" si="4"/>
        <v>0</v>
      </c>
      <c r="R40" s="152"/>
      <c r="S40" s="146">
        <f t="shared" si="5"/>
        <v>0</v>
      </c>
      <c r="T40" s="152"/>
      <c r="U40" s="146">
        <f t="shared" si="6"/>
        <v>0</v>
      </c>
      <c r="V40" s="152"/>
      <c r="W40" s="146">
        <f t="shared" si="7"/>
        <v>0</v>
      </c>
      <c r="X40" s="152"/>
      <c r="Y40" s="146">
        <f t="shared" si="8"/>
        <v>0</v>
      </c>
    </row>
    <row r="41" spans="1:25" x14ac:dyDescent="0.25">
      <c r="A41" s="162">
        <v>45839</v>
      </c>
      <c r="B41" s="152"/>
      <c r="C41" s="146">
        <f t="shared" si="0"/>
        <v>20</v>
      </c>
      <c r="D41" s="152"/>
      <c r="E41" s="146">
        <f t="shared" si="0"/>
        <v>44</v>
      </c>
      <c r="F41" s="152"/>
      <c r="G41" s="146">
        <f t="shared" si="0"/>
        <v>48</v>
      </c>
      <c r="H41" s="152"/>
      <c r="I41" s="146">
        <f t="shared" si="0"/>
        <v>0</v>
      </c>
      <c r="J41" s="152"/>
      <c r="K41" s="146">
        <f t="shared" si="1"/>
        <v>42</v>
      </c>
      <c r="L41" s="152"/>
      <c r="M41" s="146">
        <f t="shared" si="2"/>
        <v>43</v>
      </c>
      <c r="N41" s="152"/>
      <c r="O41" s="146">
        <f t="shared" si="3"/>
        <v>3</v>
      </c>
      <c r="P41" s="152"/>
      <c r="Q41" s="146">
        <f t="shared" si="4"/>
        <v>0</v>
      </c>
      <c r="R41" s="152"/>
      <c r="S41" s="146">
        <f t="shared" si="5"/>
        <v>0</v>
      </c>
      <c r="T41" s="152"/>
      <c r="U41" s="146">
        <f t="shared" si="6"/>
        <v>0</v>
      </c>
      <c r="V41" s="152"/>
      <c r="W41" s="146">
        <f t="shared" si="7"/>
        <v>0</v>
      </c>
      <c r="X41" s="152"/>
      <c r="Y41" s="146">
        <f t="shared" si="8"/>
        <v>0</v>
      </c>
    </row>
    <row r="42" spans="1:25" x14ac:dyDescent="0.25">
      <c r="A42" s="162">
        <v>45840</v>
      </c>
      <c r="B42" s="152"/>
      <c r="C42" s="146">
        <f t="shared" si="0"/>
        <v>20</v>
      </c>
      <c r="D42" s="152"/>
      <c r="E42" s="146">
        <f t="shared" si="0"/>
        <v>44</v>
      </c>
      <c r="F42" s="152"/>
      <c r="G42" s="146">
        <f t="shared" si="0"/>
        <v>48</v>
      </c>
      <c r="H42" s="152"/>
      <c r="I42" s="146">
        <f t="shared" si="0"/>
        <v>0</v>
      </c>
      <c r="J42" s="152"/>
      <c r="K42" s="146">
        <f t="shared" si="1"/>
        <v>42</v>
      </c>
      <c r="L42" s="152"/>
      <c r="M42" s="146">
        <f t="shared" si="2"/>
        <v>43</v>
      </c>
      <c r="N42" s="152"/>
      <c r="O42" s="146">
        <f t="shared" si="3"/>
        <v>3</v>
      </c>
      <c r="P42" s="152"/>
      <c r="Q42" s="146">
        <f t="shared" si="4"/>
        <v>0</v>
      </c>
      <c r="R42" s="152"/>
      <c r="S42" s="146">
        <f t="shared" si="5"/>
        <v>0</v>
      </c>
      <c r="T42" s="152"/>
      <c r="U42" s="146">
        <f t="shared" si="6"/>
        <v>0</v>
      </c>
      <c r="V42" s="152"/>
      <c r="W42" s="146">
        <f t="shared" si="7"/>
        <v>0</v>
      </c>
      <c r="X42" s="152"/>
      <c r="Y42" s="146">
        <f t="shared" si="8"/>
        <v>0</v>
      </c>
    </row>
    <row r="43" spans="1:25" x14ac:dyDescent="0.25">
      <c r="A43" s="162">
        <v>45841</v>
      </c>
      <c r="B43" s="152"/>
      <c r="C43" s="146">
        <f t="shared" si="0"/>
        <v>20</v>
      </c>
      <c r="D43" s="152"/>
      <c r="E43" s="146">
        <f t="shared" si="0"/>
        <v>44</v>
      </c>
      <c r="F43" s="152"/>
      <c r="G43" s="146">
        <f t="shared" si="0"/>
        <v>48</v>
      </c>
      <c r="H43" s="152"/>
      <c r="I43" s="146">
        <f t="shared" si="0"/>
        <v>0</v>
      </c>
      <c r="J43" s="152"/>
      <c r="K43" s="146">
        <f t="shared" si="1"/>
        <v>42</v>
      </c>
      <c r="L43" s="152"/>
      <c r="M43" s="146">
        <f t="shared" si="2"/>
        <v>43</v>
      </c>
      <c r="N43" s="152"/>
      <c r="O43" s="146">
        <f t="shared" si="3"/>
        <v>3</v>
      </c>
      <c r="P43" s="152"/>
      <c r="Q43" s="146">
        <f t="shared" si="4"/>
        <v>0</v>
      </c>
      <c r="R43" s="152"/>
      <c r="S43" s="146">
        <f t="shared" si="5"/>
        <v>0</v>
      </c>
      <c r="T43" s="152"/>
      <c r="U43" s="146">
        <f t="shared" si="6"/>
        <v>0</v>
      </c>
      <c r="V43" s="152"/>
      <c r="W43" s="146">
        <f t="shared" si="7"/>
        <v>0</v>
      </c>
      <c r="X43" s="152"/>
      <c r="Y43" s="146">
        <f t="shared" si="8"/>
        <v>0</v>
      </c>
    </row>
    <row r="44" spans="1:25" x14ac:dyDescent="0.25">
      <c r="A44" s="162">
        <v>45842</v>
      </c>
      <c r="B44" s="152"/>
      <c r="C44" s="146">
        <f t="shared" si="0"/>
        <v>20</v>
      </c>
      <c r="D44" s="152"/>
      <c r="E44" s="146">
        <f t="shared" si="0"/>
        <v>44</v>
      </c>
      <c r="F44" s="152"/>
      <c r="G44" s="146">
        <f t="shared" si="0"/>
        <v>48</v>
      </c>
      <c r="H44" s="152"/>
      <c r="I44" s="146">
        <f t="shared" si="0"/>
        <v>0</v>
      </c>
      <c r="J44" s="152"/>
      <c r="K44" s="146">
        <f t="shared" si="1"/>
        <v>42</v>
      </c>
      <c r="L44" s="152"/>
      <c r="M44" s="146">
        <f t="shared" si="2"/>
        <v>43</v>
      </c>
      <c r="N44" s="152"/>
      <c r="O44" s="146">
        <f t="shared" si="3"/>
        <v>3</v>
      </c>
      <c r="P44" s="152"/>
      <c r="Q44" s="146">
        <f t="shared" si="4"/>
        <v>0</v>
      </c>
      <c r="R44" s="152"/>
      <c r="S44" s="146">
        <f t="shared" si="5"/>
        <v>0</v>
      </c>
      <c r="T44" s="152"/>
      <c r="U44" s="146">
        <f t="shared" si="6"/>
        <v>0</v>
      </c>
      <c r="V44" s="152"/>
      <c r="W44" s="146">
        <f t="shared" si="7"/>
        <v>0</v>
      </c>
      <c r="X44" s="152"/>
      <c r="Y44" s="146">
        <f t="shared" si="8"/>
        <v>0</v>
      </c>
    </row>
    <row r="45" spans="1:25" x14ac:dyDescent="0.25">
      <c r="A45" s="162">
        <v>45843</v>
      </c>
      <c r="B45" s="152"/>
      <c r="C45" s="146">
        <f t="shared" si="0"/>
        <v>20</v>
      </c>
      <c r="D45" s="152"/>
      <c r="E45" s="146">
        <f t="shared" si="0"/>
        <v>44</v>
      </c>
      <c r="F45" s="152"/>
      <c r="G45" s="146">
        <f t="shared" si="0"/>
        <v>48</v>
      </c>
      <c r="H45" s="152"/>
      <c r="I45" s="146">
        <f t="shared" si="0"/>
        <v>0</v>
      </c>
      <c r="J45" s="152"/>
      <c r="K45" s="146">
        <f t="shared" si="1"/>
        <v>42</v>
      </c>
      <c r="L45" s="152"/>
      <c r="M45" s="146">
        <f t="shared" si="2"/>
        <v>43</v>
      </c>
      <c r="N45" s="152"/>
      <c r="O45" s="146">
        <f t="shared" si="3"/>
        <v>3</v>
      </c>
      <c r="P45" s="152"/>
      <c r="Q45" s="146">
        <f t="shared" si="4"/>
        <v>0</v>
      </c>
      <c r="R45" s="152"/>
      <c r="S45" s="146">
        <f t="shared" si="5"/>
        <v>0</v>
      </c>
      <c r="T45" s="152"/>
      <c r="U45" s="146">
        <f t="shared" si="6"/>
        <v>0</v>
      </c>
      <c r="V45" s="152"/>
      <c r="W45" s="146">
        <f t="shared" si="7"/>
        <v>0</v>
      </c>
      <c r="X45" s="152"/>
      <c r="Y45" s="146">
        <f t="shared" si="8"/>
        <v>0</v>
      </c>
    </row>
    <row r="46" spans="1:25" x14ac:dyDescent="0.25">
      <c r="A46" s="162">
        <v>45844</v>
      </c>
      <c r="B46" s="152"/>
      <c r="C46" s="146">
        <f t="shared" si="0"/>
        <v>20</v>
      </c>
      <c r="D46" s="152"/>
      <c r="E46" s="146">
        <f t="shared" si="0"/>
        <v>44</v>
      </c>
      <c r="F46" s="152"/>
      <c r="G46" s="146">
        <f t="shared" si="0"/>
        <v>48</v>
      </c>
      <c r="H46" s="152"/>
      <c r="I46" s="146">
        <f t="shared" si="0"/>
        <v>0</v>
      </c>
      <c r="J46" s="152"/>
      <c r="K46" s="146">
        <f t="shared" si="1"/>
        <v>42</v>
      </c>
      <c r="L46" s="152"/>
      <c r="M46" s="146">
        <f t="shared" si="2"/>
        <v>43</v>
      </c>
      <c r="N46" s="152"/>
      <c r="O46" s="146">
        <f t="shared" si="3"/>
        <v>3</v>
      </c>
      <c r="P46" s="152"/>
      <c r="Q46" s="146">
        <f t="shared" si="4"/>
        <v>0</v>
      </c>
      <c r="R46" s="152"/>
      <c r="S46" s="146">
        <f t="shared" si="5"/>
        <v>0</v>
      </c>
      <c r="T46" s="152"/>
      <c r="U46" s="146">
        <f t="shared" si="6"/>
        <v>0</v>
      </c>
      <c r="V46" s="152"/>
      <c r="W46" s="146">
        <f t="shared" si="7"/>
        <v>0</v>
      </c>
      <c r="X46" s="152"/>
      <c r="Y46" s="146">
        <f t="shared" si="8"/>
        <v>0</v>
      </c>
    </row>
    <row r="47" spans="1:25" x14ac:dyDescent="0.25">
      <c r="A47" s="162">
        <v>45845</v>
      </c>
      <c r="B47" s="152"/>
      <c r="C47" s="146">
        <f t="shared" si="0"/>
        <v>20</v>
      </c>
      <c r="D47" s="152"/>
      <c r="E47" s="146">
        <f t="shared" si="0"/>
        <v>44</v>
      </c>
      <c r="F47" s="152"/>
      <c r="G47" s="146">
        <f t="shared" si="0"/>
        <v>48</v>
      </c>
      <c r="H47" s="152"/>
      <c r="I47" s="146">
        <f t="shared" si="0"/>
        <v>0</v>
      </c>
      <c r="J47" s="152"/>
      <c r="K47" s="146">
        <f t="shared" si="1"/>
        <v>42</v>
      </c>
      <c r="L47" s="152"/>
      <c r="M47" s="146">
        <f t="shared" si="2"/>
        <v>43</v>
      </c>
      <c r="N47" s="152"/>
      <c r="O47" s="146">
        <f t="shared" si="3"/>
        <v>3</v>
      </c>
      <c r="P47" s="152"/>
      <c r="Q47" s="146">
        <f t="shared" si="4"/>
        <v>0</v>
      </c>
      <c r="R47" s="152"/>
      <c r="S47" s="146">
        <f t="shared" si="5"/>
        <v>0</v>
      </c>
      <c r="T47" s="152"/>
      <c r="U47" s="146">
        <f t="shared" si="6"/>
        <v>0</v>
      </c>
      <c r="V47" s="152"/>
      <c r="W47" s="146">
        <f t="shared" si="7"/>
        <v>0</v>
      </c>
      <c r="X47" s="152"/>
      <c r="Y47" s="146">
        <f t="shared" si="8"/>
        <v>0</v>
      </c>
    </row>
    <row r="48" spans="1:25" x14ac:dyDescent="0.25">
      <c r="A48" s="162">
        <v>45846</v>
      </c>
      <c r="B48" s="152"/>
      <c r="C48" s="146">
        <f t="shared" si="0"/>
        <v>20</v>
      </c>
      <c r="D48" s="152"/>
      <c r="E48" s="146">
        <f t="shared" si="0"/>
        <v>44</v>
      </c>
      <c r="F48" s="152"/>
      <c r="G48" s="146">
        <f t="shared" si="0"/>
        <v>48</v>
      </c>
      <c r="H48" s="152"/>
      <c r="I48" s="146">
        <f t="shared" si="0"/>
        <v>0</v>
      </c>
      <c r="J48" s="152"/>
      <c r="K48" s="146">
        <f t="shared" si="1"/>
        <v>42</v>
      </c>
      <c r="L48" s="152"/>
      <c r="M48" s="146">
        <f t="shared" si="2"/>
        <v>43</v>
      </c>
      <c r="N48" s="152"/>
      <c r="O48" s="146">
        <f t="shared" si="3"/>
        <v>3</v>
      </c>
      <c r="P48" s="152"/>
      <c r="Q48" s="146">
        <f t="shared" si="4"/>
        <v>0</v>
      </c>
      <c r="R48" s="152"/>
      <c r="S48" s="146">
        <f t="shared" si="5"/>
        <v>0</v>
      </c>
      <c r="T48" s="152"/>
      <c r="U48" s="146">
        <f t="shared" si="6"/>
        <v>0</v>
      </c>
      <c r="V48" s="152"/>
      <c r="W48" s="146">
        <f t="shared" si="7"/>
        <v>0</v>
      </c>
      <c r="X48" s="152"/>
      <c r="Y48" s="146">
        <f t="shared" si="8"/>
        <v>0</v>
      </c>
    </row>
    <row r="49" spans="1:25" x14ac:dyDescent="0.25">
      <c r="A49" s="162">
        <v>45847</v>
      </c>
      <c r="B49" s="152"/>
      <c r="C49" s="146">
        <f t="shared" si="0"/>
        <v>20</v>
      </c>
      <c r="D49" s="152"/>
      <c r="E49" s="146">
        <f t="shared" si="0"/>
        <v>44</v>
      </c>
      <c r="F49" s="152"/>
      <c r="G49" s="146">
        <f t="shared" si="0"/>
        <v>48</v>
      </c>
      <c r="H49" s="152"/>
      <c r="I49" s="146">
        <f t="shared" si="0"/>
        <v>0</v>
      </c>
      <c r="J49" s="152"/>
      <c r="K49" s="146">
        <f t="shared" si="1"/>
        <v>42</v>
      </c>
      <c r="L49" s="152"/>
      <c r="M49" s="146">
        <f t="shared" si="2"/>
        <v>43</v>
      </c>
      <c r="N49" s="152"/>
      <c r="O49" s="146">
        <f t="shared" si="3"/>
        <v>3</v>
      </c>
      <c r="P49" s="152"/>
      <c r="Q49" s="146">
        <f t="shared" si="4"/>
        <v>0</v>
      </c>
      <c r="R49" s="152"/>
      <c r="S49" s="146">
        <f t="shared" si="5"/>
        <v>0</v>
      </c>
      <c r="T49" s="152"/>
      <c r="U49" s="146">
        <f t="shared" si="6"/>
        <v>0</v>
      </c>
      <c r="V49" s="152"/>
      <c r="W49" s="146">
        <f t="shared" si="7"/>
        <v>0</v>
      </c>
      <c r="X49" s="152"/>
      <c r="Y49" s="146">
        <f t="shared" si="8"/>
        <v>0</v>
      </c>
    </row>
    <row r="50" spans="1:25" x14ac:dyDescent="0.25">
      <c r="A50" s="162">
        <v>45848</v>
      </c>
      <c r="B50" s="152"/>
      <c r="C50" s="146">
        <f t="shared" si="0"/>
        <v>20</v>
      </c>
      <c r="D50" s="152"/>
      <c r="E50" s="146">
        <f t="shared" si="0"/>
        <v>44</v>
      </c>
      <c r="F50" s="152"/>
      <c r="G50" s="146">
        <f t="shared" si="0"/>
        <v>48</v>
      </c>
      <c r="H50" s="152"/>
      <c r="I50" s="146">
        <f t="shared" si="0"/>
        <v>0</v>
      </c>
      <c r="J50" s="152"/>
      <c r="K50" s="146">
        <f t="shared" si="1"/>
        <v>42</v>
      </c>
      <c r="L50" s="152"/>
      <c r="M50" s="146">
        <f t="shared" si="2"/>
        <v>43</v>
      </c>
      <c r="N50" s="152"/>
      <c r="O50" s="146">
        <f t="shared" si="3"/>
        <v>3</v>
      </c>
      <c r="P50" s="152"/>
      <c r="Q50" s="146">
        <f t="shared" si="4"/>
        <v>0</v>
      </c>
      <c r="R50" s="152"/>
      <c r="S50" s="146">
        <f t="shared" si="5"/>
        <v>0</v>
      </c>
      <c r="T50" s="152"/>
      <c r="U50" s="146">
        <f t="shared" si="6"/>
        <v>0</v>
      </c>
      <c r="V50" s="152"/>
      <c r="W50" s="146">
        <f t="shared" si="7"/>
        <v>0</v>
      </c>
      <c r="X50" s="152"/>
      <c r="Y50" s="146">
        <f t="shared" si="8"/>
        <v>0</v>
      </c>
    </row>
    <row r="51" spans="1:25" x14ac:dyDescent="0.25">
      <c r="A51" s="162">
        <v>45849</v>
      </c>
      <c r="B51" s="152"/>
      <c r="C51" s="146">
        <f t="shared" si="0"/>
        <v>20</v>
      </c>
      <c r="D51" s="152"/>
      <c r="E51" s="146">
        <f t="shared" si="0"/>
        <v>44</v>
      </c>
      <c r="F51" s="152"/>
      <c r="G51" s="146">
        <f t="shared" si="0"/>
        <v>48</v>
      </c>
      <c r="H51" s="152"/>
      <c r="I51" s="146">
        <f t="shared" si="0"/>
        <v>0</v>
      </c>
      <c r="J51" s="152"/>
      <c r="K51" s="146">
        <f t="shared" si="1"/>
        <v>42</v>
      </c>
      <c r="L51" s="152"/>
      <c r="M51" s="146">
        <f t="shared" si="2"/>
        <v>43</v>
      </c>
      <c r="N51" s="152"/>
      <c r="O51" s="146">
        <f t="shared" si="3"/>
        <v>3</v>
      </c>
      <c r="P51" s="152"/>
      <c r="Q51" s="146">
        <f t="shared" si="4"/>
        <v>0</v>
      </c>
      <c r="R51" s="152"/>
      <c r="S51" s="146">
        <f t="shared" si="5"/>
        <v>0</v>
      </c>
      <c r="T51" s="152"/>
      <c r="U51" s="146">
        <f t="shared" si="6"/>
        <v>0</v>
      </c>
      <c r="V51" s="152"/>
      <c r="W51" s="146">
        <f t="shared" si="7"/>
        <v>0</v>
      </c>
      <c r="X51" s="152"/>
      <c r="Y51" s="146">
        <f t="shared" si="8"/>
        <v>0</v>
      </c>
    </row>
    <row r="52" spans="1:25" x14ac:dyDescent="0.25">
      <c r="A52" s="162">
        <v>45850</v>
      </c>
      <c r="B52" s="152"/>
      <c r="C52" s="146">
        <f t="shared" si="0"/>
        <v>20</v>
      </c>
      <c r="D52" s="152"/>
      <c r="E52" s="146">
        <f t="shared" si="0"/>
        <v>44</v>
      </c>
      <c r="F52" s="152"/>
      <c r="G52" s="146">
        <f t="shared" si="0"/>
        <v>48</v>
      </c>
      <c r="H52" s="152"/>
      <c r="I52" s="146">
        <f t="shared" si="0"/>
        <v>0</v>
      </c>
      <c r="J52" s="152"/>
      <c r="K52" s="146">
        <f t="shared" si="1"/>
        <v>42</v>
      </c>
      <c r="L52" s="152"/>
      <c r="M52" s="146">
        <f t="shared" si="2"/>
        <v>43</v>
      </c>
      <c r="N52" s="152"/>
      <c r="O52" s="146">
        <f t="shared" si="3"/>
        <v>3</v>
      </c>
      <c r="P52" s="152"/>
      <c r="Q52" s="146">
        <f t="shared" si="4"/>
        <v>0</v>
      </c>
      <c r="R52" s="152"/>
      <c r="S52" s="146">
        <f t="shared" si="5"/>
        <v>0</v>
      </c>
      <c r="T52" s="152"/>
      <c r="U52" s="146">
        <f t="shared" si="6"/>
        <v>0</v>
      </c>
      <c r="V52" s="152"/>
      <c r="W52" s="146">
        <f t="shared" si="7"/>
        <v>0</v>
      </c>
      <c r="X52" s="152"/>
      <c r="Y52" s="146">
        <f t="shared" si="8"/>
        <v>0</v>
      </c>
    </row>
    <row r="53" spans="1:25" x14ac:dyDescent="0.25">
      <c r="A53" s="162">
        <v>45851</v>
      </c>
      <c r="B53" s="152"/>
      <c r="C53" s="146">
        <f t="shared" si="0"/>
        <v>20</v>
      </c>
      <c r="D53" s="152"/>
      <c r="E53" s="146">
        <f t="shared" si="0"/>
        <v>44</v>
      </c>
      <c r="F53" s="152"/>
      <c r="G53" s="146">
        <f t="shared" si="0"/>
        <v>48</v>
      </c>
      <c r="H53" s="152"/>
      <c r="I53" s="146">
        <f t="shared" si="0"/>
        <v>0</v>
      </c>
      <c r="J53" s="152"/>
      <c r="K53" s="146">
        <f t="shared" si="1"/>
        <v>42</v>
      </c>
      <c r="L53" s="152"/>
      <c r="M53" s="146">
        <f t="shared" si="2"/>
        <v>43</v>
      </c>
      <c r="N53" s="152"/>
      <c r="O53" s="146">
        <f t="shared" si="3"/>
        <v>3</v>
      </c>
      <c r="P53" s="152"/>
      <c r="Q53" s="146">
        <f t="shared" si="4"/>
        <v>0</v>
      </c>
      <c r="R53" s="152"/>
      <c r="S53" s="146">
        <f t="shared" si="5"/>
        <v>0</v>
      </c>
      <c r="T53" s="152"/>
      <c r="U53" s="146">
        <f t="shared" si="6"/>
        <v>0</v>
      </c>
      <c r="V53" s="152"/>
      <c r="W53" s="146">
        <f t="shared" si="7"/>
        <v>0</v>
      </c>
      <c r="X53" s="152"/>
      <c r="Y53" s="146">
        <f t="shared" si="8"/>
        <v>0</v>
      </c>
    </row>
    <row r="54" spans="1:25" x14ac:dyDescent="0.25">
      <c r="A54" s="162">
        <v>45852</v>
      </c>
      <c r="B54" s="152"/>
      <c r="C54" s="146">
        <f t="shared" si="0"/>
        <v>20</v>
      </c>
      <c r="D54" s="152"/>
      <c r="E54" s="146">
        <f t="shared" si="0"/>
        <v>44</v>
      </c>
      <c r="F54" s="152"/>
      <c r="G54" s="146">
        <f t="shared" si="0"/>
        <v>48</v>
      </c>
      <c r="H54" s="152"/>
      <c r="I54" s="146">
        <f t="shared" si="0"/>
        <v>0</v>
      </c>
      <c r="J54" s="152"/>
      <c r="K54" s="146">
        <f t="shared" si="1"/>
        <v>42</v>
      </c>
      <c r="L54" s="152"/>
      <c r="M54" s="146">
        <f t="shared" si="2"/>
        <v>43</v>
      </c>
      <c r="N54" s="152"/>
      <c r="O54" s="146">
        <f t="shared" si="3"/>
        <v>3</v>
      </c>
      <c r="P54" s="152"/>
      <c r="Q54" s="146">
        <f t="shared" si="4"/>
        <v>0</v>
      </c>
      <c r="R54" s="152"/>
      <c r="S54" s="146">
        <f t="shared" si="5"/>
        <v>0</v>
      </c>
      <c r="T54" s="152"/>
      <c r="U54" s="146">
        <f t="shared" si="6"/>
        <v>0</v>
      </c>
      <c r="V54" s="152"/>
      <c r="W54" s="146">
        <f t="shared" si="7"/>
        <v>0</v>
      </c>
      <c r="X54" s="152"/>
      <c r="Y54" s="146">
        <f t="shared" si="8"/>
        <v>0</v>
      </c>
    </row>
    <row r="55" spans="1:25" x14ac:dyDescent="0.25">
      <c r="A55" s="162">
        <v>45853</v>
      </c>
      <c r="B55" s="152"/>
      <c r="C55" s="146">
        <f t="shared" si="0"/>
        <v>20</v>
      </c>
      <c r="D55" s="152"/>
      <c r="E55" s="146">
        <f t="shared" si="0"/>
        <v>44</v>
      </c>
      <c r="F55" s="152"/>
      <c r="G55" s="146">
        <f t="shared" si="0"/>
        <v>48</v>
      </c>
      <c r="H55" s="152"/>
      <c r="I55" s="146">
        <f t="shared" si="0"/>
        <v>0</v>
      </c>
      <c r="J55" s="152"/>
      <c r="K55" s="146">
        <f t="shared" si="1"/>
        <v>42</v>
      </c>
      <c r="L55" s="152"/>
      <c r="M55" s="146">
        <f t="shared" si="2"/>
        <v>43</v>
      </c>
      <c r="N55" s="152"/>
      <c r="O55" s="146">
        <f t="shared" si="3"/>
        <v>3</v>
      </c>
      <c r="P55" s="152"/>
      <c r="Q55" s="146">
        <f t="shared" si="4"/>
        <v>0</v>
      </c>
      <c r="R55" s="152"/>
      <c r="S55" s="146">
        <f t="shared" si="5"/>
        <v>0</v>
      </c>
      <c r="T55" s="152"/>
      <c r="U55" s="146">
        <f t="shared" si="6"/>
        <v>0</v>
      </c>
      <c r="V55" s="152"/>
      <c r="W55" s="146">
        <f t="shared" si="7"/>
        <v>0</v>
      </c>
      <c r="X55" s="152"/>
      <c r="Y55" s="146">
        <f t="shared" si="8"/>
        <v>0</v>
      </c>
    </row>
    <row r="56" spans="1:25" x14ac:dyDescent="0.25">
      <c r="A56" s="162">
        <v>45854</v>
      </c>
      <c r="B56" s="152"/>
      <c r="C56" s="146">
        <f t="shared" si="0"/>
        <v>20</v>
      </c>
      <c r="D56" s="152"/>
      <c r="E56" s="146">
        <f t="shared" si="0"/>
        <v>44</v>
      </c>
      <c r="F56" s="152"/>
      <c r="G56" s="146">
        <f t="shared" si="0"/>
        <v>48</v>
      </c>
      <c r="H56" s="152"/>
      <c r="I56" s="146">
        <f t="shared" si="0"/>
        <v>0</v>
      </c>
      <c r="J56" s="152"/>
      <c r="K56" s="146">
        <f t="shared" si="1"/>
        <v>42</v>
      </c>
      <c r="L56" s="152"/>
      <c r="M56" s="146">
        <f t="shared" si="2"/>
        <v>43</v>
      </c>
      <c r="N56" s="152"/>
      <c r="O56" s="146">
        <f t="shared" si="3"/>
        <v>3</v>
      </c>
      <c r="P56" s="152"/>
      <c r="Q56" s="146">
        <f t="shared" si="4"/>
        <v>0</v>
      </c>
      <c r="R56" s="152"/>
      <c r="S56" s="146">
        <f t="shared" si="5"/>
        <v>0</v>
      </c>
      <c r="T56" s="152"/>
      <c r="U56" s="146">
        <f t="shared" si="6"/>
        <v>0</v>
      </c>
      <c r="V56" s="152"/>
      <c r="W56" s="146">
        <f t="shared" si="7"/>
        <v>0</v>
      </c>
      <c r="X56" s="152"/>
      <c r="Y56" s="146">
        <f t="shared" si="8"/>
        <v>0</v>
      </c>
    </row>
    <row r="57" spans="1:25" x14ac:dyDescent="0.25">
      <c r="A57" s="162">
        <v>45855</v>
      </c>
      <c r="B57" s="152"/>
      <c r="C57" s="146">
        <f t="shared" si="0"/>
        <v>20</v>
      </c>
      <c r="D57" s="152"/>
      <c r="E57" s="146">
        <f t="shared" si="0"/>
        <v>44</v>
      </c>
      <c r="F57" s="152"/>
      <c r="G57" s="146">
        <f t="shared" si="0"/>
        <v>48</v>
      </c>
      <c r="H57" s="152"/>
      <c r="I57" s="146">
        <f t="shared" si="0"/>
        <v>0</v>
      </c>
      <c r="J57" s="152"/>
      <c r="K57" s="146">
        <f t="shared" si="1"/>
        <v>42</v>
      </c>
      <c r="L57" s="152"/>
      <c r="M57" s="146">
        <f t="shared" si="2"/>
        <v>43</v>
      </c>
      <c r="N57" s="152"/>
      <c r="O57" s="146">
        <f t="shared" si="3"/>
        <v>3</v>
      </c>
      <c r="P57" s="152"/>
      <c r="Q57" s="146">
        <f t="shared" si="4"/>
        <v>0</v>
      </c>
      <c r="R57" s="152"/>
      <c r="S57" s="146">
        <f t="shared" si="5"/>
        <v>0</v>
      </c>
      <c r="T57" s="152"/>
      <c r="U57" s="146">
        <f t="shared" si="6"/>
        <v>0</v>
      </c>
      <c r="V57" s="152"/>
      <c r="W57" s="146">
        <f t="shared" si="7"/>
        <v>0</v>
      </c>
      <c r="X57" s="152"/>
      <c r="Y57" s="146">
        <f t="shared" si="8"/>
        <v>0</v>
      </c>
    </row>
    <row r="58" spans="1:25" x14ac:dyDescent="0.25">
      <c r="A58" s="162">
        <v>45856</v>
      </c>
      <c r="B58" s="152"/>
      <c r="C58" s="146">
        <f t="shared" si="0"/>
        <v>20</v>
      </c>
      <c r="D58" s="152"/>
      <c r="E58" s="146">
        <f t="shared" si="0"/>
        <v>44</v>
      </c>
      <c r="F58" s="152"/>
      <c r="G58" s="146">
        <f t="shared" si="0"/>
        <v>48</v>
      </c>
      <c r="H58" s="152"/>
      <c r="I58" s="146">
        <f t="shared" si="0"/>
        <v>0</v>
      </c>
      <c r="J58" s="152"/>
      <c r="K58" s="146">
        <f t="shared" si="1"/>
        <v>42</v>
      </c>
      <c r="L58" s="152"/>
      <c r="M58" s="146">
        <f t="shared" si="2"/>
        <v>43</v>
      </c>
      <c r="N58" s="152"/>
      <c r="O58" s="146">
        <f t="shared" si="3"/>
        <v>3</v>
      </c>
      <c r="P58" s="152"/>
      <c r="Q58" s="146">
        <f t="shared" si="4"/>
        <v>0</v>
      </c>
      <c r="R58" s="152"/>
      <c r="S58" s="146">
        <f t="shared" si="5"/>
        <v>0</v>
      </c>
      <c r="T58" s="152"/>
      <c r="U58" s="146">
        <f t="shared" si="6"/>
        <v>0</v>
      </c>
      <c r="V58" s="152"/>
      <c r="W58" s="146">
        <f t="shared" si="7"/>
        <v>0</v>
      </c>
      <c r="X58" s="152"/>
      <c r="Y58" s="146">
        <f t="shared" si="8"/>
        <v>0</v>
      </c>
    </row>
    <row r="59" spans="1:25" x14ac:dyDescent="0.25">
      <c r="A59" s="162">
        <v>45857</v>
      </c>
      <c r="B59" s="152"/>
      <c r="C59" s="146">
        <f t="shared" si="0"/>
        <v>20</v>
      </c>
      <c r="D59" s="152"/>
      <c r="E59" s="146">
        <f t="shared" si="0"/>
        <v>44</v>
      </c>
      <c r="F59" s="152"/>
      <c r="G59" s="146">
        <f t="shared" si="0"/>
        <v>48</v>
      </c>
      <c r="H59" s="152"/>
      <c r="I59" s="146">
        <f t="shared" si="0"/>
        <v>0</v>
      </c>
      <c r="J59" s="152"/>
      <c r="K59" s="146">
        <f t="shared" si="1"/>
        <v>42</v>
      </c>
      <c r="L59" s="152"/>
      <c r="M59" s="146">
        <f t="shared" si="2"/>
        <v>43</v>
      </c>
      <c r="N59" s="152"/>
      <c r="O59" s="146">
        <f t="shared" si="3"/>
        <v>3</v>
      </c>
      <c r="P59" s="152"/>
      <c r="Q59" s="146">
        <f t="shared" si="4"/>
        <v>0</v>
      </c>
      <c r="R59" s="152"/>
      <c r="S59" s="146">
        <f t="shared" si="5"/>
        <v>0</v>
      </c>
      <c r="T59" s="152"/>
      <c r="U59" s="146">
        <f t="shared" si="6"/>
        <v>0</v>
      </c>
      <c r="V59" s="152"/>
      <c r="W59" s="146">
        <f t="shared" si="7"/>
        <v>0</v>
      </c>
      <c r="X59" s="152"/>
      <c r="Y59" s="146">
        <f t="shared" si="8"/>
        <v>0</v>
      </c>
    </row>
    <row r="60" spans="1:25" x14ac:dyDescent="0.25">
      <c r="A60" s="162">
        <v>45858</v>
      </c>
      <c r="B60" s="152"/>
      <c r="C60" s="146">
        <f t="shared" si="0"/>
        <v>20</v>
      </c>
      <c r="D60" s="152"/>
      <c r="E60" s="146">
        <f t="shared" si="0"/>
        <v>44</v>
      </c>
      <c r="F60" s="152"/>
      <c r="G60" s="146">
        <f t="shared" si="0"/>
        <v>48</v>
      </c>
      <c r="H60" s="152"/>
      <c r="I60" s="146">
        <f t="shared" si="0"/>
        <v>0</v>
      </c>
      <c r="J60" s="152"/>
      <c r="K60" s="146">
        <f t="shared" si="1"/>
        <v>42</v>
      </c>
      <c r="L60" s="152"/>
      <c r="M60" s="146">
        <f t="shared" si="2"/>
        <v>43</v>
      </c>
      <c r="N60" s="152"/>
      <c r="O60" s="146">
        <f t="shared" si="3"/>
        <v>3</v>
      </c>
      <c r="P60" s="152"/>
      <c r="Q60" s="146">
        <f t="shared" si="4"/>
        <v>0</v>
      </c>
      <c r="R60" s="152"/>
      <c r="S60" s="146">
        <f t="shared" si="5"/>
        <v>0</v>
      </c>
      <c r="T60" s="152"/>
      <c r="U60" s="146">
        <f t="shared" si="6"/>
        <v>0</v>
      </c>
      <c r="V60" s="152"/>
      <c r="W60" s="146">
        <f t="shared" si="7"/>
        <v>0</v>
      </c>
      <c r="X60" s="152"/>
      <c r="Y60" s="146">
        <f t="shared" si="8"/>
        <v>0</v>
      </c>
    </row>
    <row r="61" spans="1:25" x14ac:dyDescent="0.25">
      <c r="A61" s="162">
        <v>45859</v>
      </c>
      <c r="B61" s="152"/>
      <c r="C61" s="146">
        <f t="shared" si="0"/>
        <v>20</v>
      </c>
      <c r="D61" s="152"/>
      <c r="E61" s="146">
        <f t="shared" si="0"/>
        <v>44</v>
      </c>
      <c r="F61" s="152"/>
      <c r="G61" s="146">
        <f t="shared" si="0"/>
        <v>48</v>
      </c>
      <c r="H61" s="152"/>
      <c r="I61" s="146">
        <f t="shared" si="0"/>
        <v>0</v>
      </c>
      <c r="J61" s="152"/>
      <c r="K61" s="146">
        <f t="shared" si="1"/>
        <v>42</v>
      </c>
      <c r="L61" s="152"/>
      <c r="M61" s="146">
        <f t="shared" si="2"/>
        <v>43</v>
      </c>
      <c r="N61" s="152"/>
      <c r="O61" s="146">
        <f t="shared" si="3"/>
        <v>3</v>
      </c>
      <c r="P61" s="152"/>
      <c r="Q61" s="146">
        <f t="shared" si="4"/>
        <v>0</v>
      </c>
      <c r="R61" s="152"/>
      <c r="S61" s="146">
        <f t="shared" si="5"/>
        <v>0</v>
      </c>
      <c r="T61" s="152"/>
      <c r="U61" s="146">
        <f t="shared" si="6"/>
        <v>0</v>
      </c>
      <c r="V61" s="152"/>
      <c r="W61" s="146">
        <f t="shared" si="7"/>
        <v>0</v>
      </c>
      <c r="X61" s="152"/>
      <c r="Y61" s="146">
        <f t="shared" si="8"/>
        <v>0</v>
      </c>
    </row>
    <row r="62" spans="1:25" x14ac:dyDescent="0.25">
      <c r="A62" s="162">
        <v>45860</v>
      </c>
      <c r="B62" s="152"/>
      <c r="C62" s="146">
        <f t="shared" si="0"/>
        <v>20</v>
      </c>
      <c r="D62" s="152"/>
      <c r="E62" s="146">
        <f t="shared" si="0"/>
        <v>44</v>
      </c>
      <c r="F62" s="152"/>
      <c r="G62" s="146">
        <f t="shared" si="0"/>
        <v>48</v>
      </c>
      <c r="H62" s="152"/>
      <c r="I62" s="146">
        <f t="shared" si="0"/>
        <v>0</v>
      </c>
      <c r="J62" s="152"/>
      <c r="K62" s="146">
        <f t="shared" si="1"/>
        <v>42</v>
      </c>
      <c r="L62" s="152"/>
      <c r="M62" s="146">
        <f t="shared" si="2"/>
        <v>43</v>
      </c>
      <c r="N62" s="152"/>
      <c r="O62" s="146">
        <f t="shared" si="3"/>
        <v>3</v>
      </c>
      <c r="P62" s="152"/>
      <c r="Q62" s="146">
        <f t="shared" si="4"/>
        <v>0</v>
      </c>
      <c r="R62" s="152"/>
      <c r="S62" s="146">
        <f t="shared" si="5"/>
        <v>0</v>
      </c>
      <c r="T62" s="152"/>
      <c r="U62" s="146">
        <f t="shared" si="6"/>
        <v>0</v>
      </c>
      <c r="V62" s="152"/>
      <c r="W62" s="146">
        <f t="shared" si="7"/>
        <v>0</v>
      </c>
      <c r="X62" s="152"/>
      <c r="Y62" s="146">
        <f t="shared" si="8"/>
        <v>0</v>
      </c>
    </row>
    <row r="63" spans="1:25" x14ac:dyDescent="0.25">
      <c r="A63" s="162">
        <v>45861</v>
      </c>
      <c r="B63" s="152"/>
      <c r="C63" s="146">
        <f t="shared" si="0"/>
        <v>20</v>
      </c>
      <c r="D63" s="152"/>
      <c r="E63" s="146">
        <f t="shared" si="0"/>
        <v>44</v>
      </c>
      <c r="F63" s="152"/>
      <c r="G63" s="146">
        <f t="shared" si="0"/>
        <v>48</v>
      </c>
      <c r="H63" s="152"/>
      <c r="I63" s="146">
        <f t="shared" si="0"/>
        <v>0</v>
      </c>
      <c r="J63" s="152"/>
      <c r="K63" s="146">
        <f t="shared" si="1"/>
        <v>42</v>
      </c>
      <c r="L63" s="152"/>
      <c r="M63" s="146">
        <f t="shared" si="2"/>
        <v>43</v>
      </c>
      <c r="N63" s="152"/>
      <c r="O63" s="146">
        <f t="shared" si="3"/>
        <v>3</v>
      </c>
      <c r="P63" s="152"/>
      <c r="Q63" s="146">
        <f t="shared" si="4"/>
        <v>0</v>
      </c>
      <c r="R63" s="152"/>
      <c r="S63" s="146">
        <f t="shared" si="5"/>
        <v>0</v>
      </c>
      <c r="T63" s="152"/>
      <c r="U63" s="146">
        <f t="shared" si="6"/>
        <v>0</v>
      </c>
      <c r="V63" s="152"/>
      <c r="W63" s="146">
        <f t="shared" si="7"/>
        <v>0</v>
      </c>
      <c r="X63" s="152"/>
      <c r="Y63" s="146">
        <f t="shared" si="8"/>
        <v>0</v>
      </c>
    </row>
    <row r="64" spans="1:25" x14ac:dyDescent="0.25">
      <c r="A64" s="162">
        <v>45862</v>
      </c>
      <c r="B64" s="152"/>
      <c r="C64" s="146">
        <f t="shared" si="0"/>
        <v>20</v>
      </c>
      <c r="D64" s="152"/>
      <c r="E64" s="146">
        <f t="shared" si="0"/>
        <v>44</v>
      </c>
      <c r="F64" s="152"/>
      <c r="G64" s="146">
        <f t="shared" si="0"/>
        <v>48</v>
      </c>
      <c r="H64" s="152"/>
      <c r="I64" s="146">
        <f t="shared" si="0"/>
        <v>0</v>
      </c>
      <c r="J64" s="152"/>
      <c r="K64" s="146">
        <f t="shared" si="1"/>
        <v>42</v>
      </c>
      <c r="L64" s="152"/>
      <c r="M64" s="146">
        <f t="shared" si="2"/>
        <v>43</v>
      </c>
      <c r="N64" s="152"/>
      <c r="O64" s="146">
        <f t="shared" si="3"/>
        <v>3</v>
      </c>
      <c r="P64" s="152"/>
      <c r="Q64" s="146">
        <f t="shared" si="4"/>
        <v>0</v>
      </c>
      <c r="R64" s="152"/>
      <c r="S64" s="146">
        <f t="shared" si="5"/>
        <v>0</v>
      </c>
      <c r="T64" s="152"/>
      <c r="U64" s="146">
        <f t="shared" si="6"/>
        <v>0</v>
      </c>
      <c r="V64" s="152"/>
      <c r="W64" s="146">
        <f t="shared" si="7"/>
        <v>0</v>
      </c>
      <c r="X64" s="152"/>
      <c r="Y64" s="146">
        <f t="shared" si="8"/>
        <v>0</v>
      </c>
    </row>
    <row r="65" spans="1:25" x14ac:dyDescent="0.25">
      <c r="A65" s="162">
        <v>45863</v>
      </c>
      <c r="B65" s="152"/>
      <c r="C65" s="146">
        <f t="shared" si="0"/>
        <v>20</v>
      </c>
      <c r="D65" s="152"/>
      <c r="E65" s="146">
        <f t="shared" si="0"/>
        <v>44</v>
      </c>
      <c r="F65" s="152"/>
      <c r="G65" s="146">
        <f t="shared" si="0"/>
        <v>48</v>
      </c>
      <c r="H65" s="152"/>
      <c r="I65" s="146">
        <f t="shared" si="0"/>
        <v>0</v>
      </c>
      <c r="J65" s="152"/>
      <c r="K65" s="146">
        <f t="shared" si="1"/>
        <v>42</v>
      </c>
      <c r="L65" s="152"/>
      <c r="M65" s="146">
        <f t="shared" si="2"/>
        <v>43</v>
      </c>
      <c r="N65" s="152"/>
      <c r="O65" s="146">
        <f t="shared" si="3"/>
        <v>3</v>
      </c>
      <c r="P65" s="152"/>
      <c r="Q65" s="146">
        <f t="shared" si="4"/>
        <v>0</v>
      </c>
      <c r="R65" s="152"/>
      <c r="S65" s="146">
        <f t="shared" si="5"/>
        <v>0</v>
      </c>
      <c r="T65" s="152"/>
      <c r="U65" s="146">
        <f t="shared" si="6"/>
        <v>0</v>
      </c>
      <c r="V65" s="152"/>
      <c r="W65" s="146">
        <f t="shared" si="7"/>
        <v>0</v>
      </c>
      <c r="X65" s="152"/>
      <c r="Y65" s="146">
        <f t="shared" si="8"/>
        <v>0</v>
      </c>
    </row>
    <row r="66" spans="1:25" x14ac:dyDescent="0.25">
      <c r="A66" s="162">
        <v>45864</v>
      </c>
      <c r="B66" s="152"/>
      <c r="C66" s="146">
        <f t="shared" si="0"/>
        <v>20</v>
      </c>
      <c r="D66" s="152"/>
      <c r="E66" s="146">
        <f t="shared" si="0"/>
        <v>44</v>
      </c>
      <c r="F66" s="152"/>
      <c r="G66" s="146">
        <f t="shared" si="0"/>
        <v>48</v>
      </c>
      <c r="H66" s="152"/>
      <c r="I66" s="146">
        <f t="shared" si="0"/>
        <v>0</v>
      </c>
      <c r="J66" s="152"/>
      <c r="K66" s="146">
        <f t="shared" si="1"/>
        <v>42</v>
      </c>
      <c r="L66" s="152"/>
      <c r="M66" s="146">
        <f t="shared" si="2"/>
        <v>43</v>
      </c>
      <c r="N66" s="152"/>
      <c r="O66" s="146">
        <f t="shared" si="3"/>
        <v>3</v>
      </c>
      <c r="P66" s="152"/>
      <c r="Q66" s="146">
        <f t="shared" si="4"/>
        <v>0</v>
      </c>
      <c r="R66" s="152"/>
      <c r="S66" s="146">
        <f t="shared" si="5"/>
        <v>0</v>
      </c>
      <c r="T66" s="152"/>
      <c r="U66" s="146">
        <f t="shared" si="6"/>
        <v>0</v>
      </c>
      <c r="V66" s="152"/>
      <c r="W66" s="146">
        <f t="shared" si="7"/>
        <v>0</v>
      </c>
      <c r="X66" s="152"/>
      <c r="Y66" s="146">
        <f t="shared" si="8"/>
        <v>0</v>
      </c>
    </row>
    <row r="67" spans="1:25" x14ac:dyDescent="0.25">
      <c r="A67" s="162">
        <v>45865</v>
      </c>
      <c r="B67" s="152"/>
      <c r="C67" s="146">
        <f t="shared" si="0"/>
        <v>20</v>
      </c>
      <c r="D67" s="152"/>
      <c r="E67" s="146">
        <f t="shared" si="0"/>
        <v>44</v>
      </c>
      <c r="F67" s="152"/>
      <c r="G67" s="146">
        <f t="shared" si="0"/>
        <v>48</v>
      </c>
      <c r="H67" s="152"/>
      <c r="I67" s="146">
        <f t="shared" si="0"/>
        <v>0</v>
      </c>
      <c r="J67" s="152"/>
      <c r="K67" s="146">
        <f t="shared" si="1"/>
        <v>42</v>
      </c>
      <c r="L67" s="152"/>
      <c r="M67" s="146">
        <f t="shared" si="2"/>
        <v>43</v>
      </c>
      <c r="N67" s="152"/>
      <c r="O67" s="146">
        <f t="shared" si="3"/>
        <v>3</v>
      </c>
      <c r="P67" s="152"/>
      <c r="Q67" s="146">
        <f t="shared" si="4"/>
        <v>0</v>
      </c>
      <c r="R67" s="152"/>
      <c r="S67" s="146">
        <f t="shared" si="5"/>
        <v>0</v>
      </c>
      <c r="T67" s="152"/>
      <c r="U67" s="146">
        <f t="shared" si="6"/>
        <v>0</v>
      </c>
      <c r="V67" s="152"/>
      <c r="W67" s="146">
        <f t="shared" si="7"/>
        <v>0</v>
      </c>
      <c r="X67" s="152"/>
      <c r="Y67" s="146">
        <f t="shared" si="8"/>
        <v>0</v>
      </c>
    </row>
    <row r="68" spans="1:25" x14ac:dyDescent="0.25">
      <c r="A68" s="162">
        <v>45866</v>
      </c>
      <c r="B68" s="152"/>
      <c r="C68" s="146">
        <f t="shared" si="0"/>
        <v>20</v>
      </c>
      <c r="D68" s="152"/>
      <c r="E68" s="146">
        <f t="shared" si="0"/>
        <v>44</v>
      </c>
      <c r="F68" s="152"/>
      <c r="G68" s="146">
        <f t="shared" si="0"/>
        <v>48</v>
      </c>
      <c r="H68" s="152"/>
      <c r="I68" s="146">
        <f t="shared" si="0"/>
        <v>0</v>
      </c>
      <c r="J68" s="152"/>
      <c r="K68" s="146">
        <f t="shared" si="1"/>
        <v>42</v>
      </c>
      <c r="L68" s="152"/>
      <c r="M68" s="146">
        <f t="shared" si="2"/>
        <v>43</v>
      </c>
      <c r="N68" s="152"/>
      <c r="O68" s="146">
        <f t="shared" si="3"/>
        <v>3</v>
      </c>
      <c r="P68" s="152"/>
      <c r="Q68" s="146">
        <f t="shared" si="4"/>
        <v>0</v>
      </c>
      <c r="R68" s="152"/>
      <c r="S68" s="146">
        <f t="shared" si="5"/>
        <v>0</v>
      </c>
      <c r="T68" s="152"/>
      <c r="U68" s="146">
        <f t="shared" si="6"/>
        <v>0</v>
      </c>
      <c r="V68" s="152"/>
      <c r="W68" s="146">
        <f t="shared" si="7"/>
        <v>0</v>
      </c>
      <c r="X68" s="152"/>
      <c r="Y68" s="146">
        <f t="shared" si="8"/>
        <v>0</v>
      </c>
    </row>
    <row r="69" spans="1:25" x14ac:dyDescent="0.25">
      <c r="A69" s="162">
        <v>45867</v>
      </c>
      <c r="B69" s="152"/>
      <c r="C69" s="146">
        <f t="shared" si="0"/>
        <v>20</v>
      </c>
      <c r="D69" s="152"/>
      <c r="E69" s="146">
        <f t="shared" si="0"/>
        <v>44</v>
      </c>
      <c r="F69" s="152"/>
      <c r="G69" s="146">
        <f t="shared" si="0"/>
        <v>48</v>
      </c>
      <c r="H69" s="152"/>
      <c r="I69" s="146">
        <f t="shared" si="0"/>
        <v>0</v>
      </c>
      <c r="J69" s="152"/>
      <c r="K69" s="146">
        <f t="shared" si="1"/>
        <v>42</v>
      </c>
      <c r="L69" s="152"/>
      <c r="M69" s="146">
        <f t="shared" si="2"/>
        <v>43</v>
      </c>
      <c r="N69" s="152"/>
      <c r="O69" s="146">
        <f t="shared" si="3"/>
        <v>3</v>
      </c>
      <c r="P69" s="152"/>
      <c r="Q69" s="146">
        <f t="shared" si="4"/>
        <v>0</v>
      </c>
      <c r="R69" s="152"/>
      <c r="S69" s="146">
        <f t="shared" si="5"/>
        <v>0</v>
      </c>
      <c r="T69" s="152"/>
      <c r="U69" s="146">
        <f t="shared" si="6"/>
        <v>0</v>
      </c>
      <c r="V69" s="152"/>
      <c r="W69" s="146">
        <f t="shared" si="7"/>
        <v>0</v>
      </c>
      <c r="X69" s="152"/>
      <c r="Y69" s="146">
        <f t="shared" si="8"/>
        <v>0</v>
      </c>
    </row>
    <row r="70" spans="1:25" x14ac:dyDescent="0.25">
      <c r="A70" s="162">
        <v>45868</v>
      </c>
      <c r="B70" s="152"/>
      <c r="C70" s="146">
        <f t="shared" si="0"/>
        <v>20</v>
      </c>
      <c r="D70" s="152"/>
      <c r="E70" s="146">
        <f t="shared" si="0"/>
        <v>44</v>
      </c>
      <c r="F70" s="152"/>
      <c r="G70" s="146">
        <f t="shared" si="0"/>
        <v>48</v>
      </c>
      <c r="H70" s="152"/>
      <c r="I70" s="146">
        <f t="shared" ref="I70" si="9">H70+I69</f>
        <v>0</v>
      </c>
      <c r="J70" s="152"/>
      <c r="K70" s="146">
        <f t="shared" si="1"/>
        <v>42</v>
      </c>
      <c r="L70" s="152"/>
      <c r="M70" s="146">
        <f t="shared" si="2"/>
        <v>43</v>
      </c>
      <c r="N70" s="152"/>
      <c r="O70" s="146">
        <f t="shared" si="3"/>
        <v>3</v>
      </c>
      <c r="P70" s="152"/>
      <c r="Q70" s="146">
        <f t="shared" si="4"/>
        <v>0</v>
      </c>
      <c r="R70" s="152"/>
      <c r="S70" s="146">
        <f t="shared" si="5"/>
        <v>0</v>
      </c>
      <c r="T70" s="152"/>
      <c r="U70" s="146">
        <f t="shared" si="6"/>
        <v>0</v>
      </c>
      <c r="V70" s="152"/>
      <c r="W70" s="146">
        <f t="shared" si="7"/>
        <v>0</v>
      </c>
      <c r="X70" s="152"/>
      <c r="Y70" s="146">
        <f t="shared" si="8"/>
        <v>0</v>
      </c>
    </row>
    <row r="71" spans="1:25" x14ac:dyDescent="0.25">
      <c r="A71" s="162">
        <v>45869</v>
      </c>
      <c r="B71" s="152"/>
      <c r="C71" s="146">
        <f t="shared" ref="C71:K124" si="10">B71+C70</f>
        <v>20</v>
      </c>
      <c r="D71" s="152"/>
      <c r="E71" s="146">
        <f t="shared" si="10"/>
        <v>44</v>
      </c>
      <c r="F71" s="152"/>
      <c r="G71" s="146">
        <f t="shared" si="10"/>
        <v>48</v>
      </c>
      <c r="H71" s="152"/>
      <c r="I71" s="146">
        <f t="shared" si="10"/>
        <v>0</v>
      </c>
      <c r="J71" s="152"/>
      <c r="K71" s="146">
        <f t="shared" si="10"/>
        <v>42</v>
      </c>
      <c r="L71" s="152"/>
      <c r="M71" s="146">
        <f t="shared" ref="M71:M124" si="11">L71+M70</f>
        <v>43</v>
      </c>
      <c r="N71" s="152"/>
      <c r="O71" s="146">
        <f t="shared" ref="O71:O124" si="12">N71+O70</f>
        <v>3</v>
      </c>
      <c r="P71" s="152"/>
      <c r="Q71" s="146">
        <f t="shared" ref="Q71:Q124" si="13">P71+Q70</f>
        <v>0</v>
      </c>
      <c r="R71" s="152"/>
      <c r="S71" s="146">
        <f t="shared" ref="S71:S124" si="14">R71+S70</f>
        <v>0</v>
      </c>
      <c r="T71" s="152"/>
      <c r="U71" s="146">
        <f t="shared" ref="U71:U124" si="15">T71+U70</f>
        <v>0</v>
      </c>
      <c r="V71" s="152"/>
      <c r="W71" s="146">
        <f t="shared" ref="W71:W124" si="16">V71+W70</f>
        <v>0</v>
      </c>
      <c r="X71" s="152"/>
      <c r="Y71" s="146">
        <f t="shared" ref="Y71:Y124" si="17">X71+Y70</f>
        <v>0</v>
      </c>
    </row>
    <row r="72" spans="1:25" x14ac:dyDescent="0.25">
      <c r="A72" s="162">
        <v>45870</v>
      </c>
      <c r="B72" s="152"/>
      <c r="C72" s="146">
        <f t="shared" si="10"/>
        <v>20</v>
      </c>
      <c r="D72" s="152"/>
      <c r="E72" s="146">
        <f t="shared" si="10"/>
        <v>44</v>
      </c>
      <c r="F72" s="152"/>
      <c r="G72" s="146">
        <f t="shared" si="10"/>
        <v>48</v>
      </c>
      <c r="H72" s="152"/>
      <c r="I72" s="146">
        <f t="shared" si="10"/>
        <v>0</v>
      </c>
      <c r="J72" s="152"/>
      <c r="K72" s="146">
        <f t="shared" si="10"/>
        <v>42</v>
      </c>
      <c r="L72" s="152"/>
      <c r="M72" s="146">
        <f t="shared" si="11"/>
        <v>43</v>
      </c>
      <c r="N72" s="152"/>
      <c r="O72" s="146">
        <f t="shared" si="12"/>
        <v>3</v>
      </c>
      <c r="P72" s="152"/>
      <c r="Q72" s="146">
        <f t="shared" si="13"/>
        <v>0</v>
      </c>
      <c r="R72" s="152"/>
      <c r="S72" s="146">
        <f t="shared" si="14"/>
        <v>0</v>
      </c>
      <c r="T72" s="152"/>
      <c r="U72" s="146">
        <f t="shared" si="15"/>
        <v>0</v>
      </c>
      <c r="V72" s="152"/>
      <c r="W72" s="146">
        <f t="shared" si="16"/>
        <v>0</v>
      </c>
      <c r="X72" s="152"/>
      <c r="Y72" s="146">
        <f t="shared" si="17"/>
        <v>0</v>
      </c>
    </row>
    <row r="73" spans="1:25" x14ac:dyDescent="0.25">
      <c r="A73" s="162">
        <v>45871</v>
      </c>
      <c r="B73" s="152"/>
      <c r="C73" s="146">
        <f t="shared" si="10"/>
        <v>20</v>
      </c>
      <c r="D73" s="152"/>
      <c r="E73" s="146">
        <f t="shared" si="10"/>
        <v>44</v>
      </c>
      <c r="F73" s="152"/>
      <c r="G73" s="146">
        <f t="shared" si="10"/>
        <v>48</v>
      </c>
      <c r="H73" s="152"/>
      <c r="I73" s="146">
        <f t="shared" si="10"/>
        <v>0</v>
      </c>
      <c r="J73" s="152"/>
      <c r="K73" s="146">
        <f t="shared" si="10"/>
        <v>42</v>
      </c>
      <c r="L73" s="152"/>
      <c r="M73" s="146">
        <f t="shared" si="11"/>
        <v>43</v>
      </c>
      <c r="N73" s="152"/>
      <c r="O73" s="146">
        <f t="shared" si="12"/>
        <v>3</v>
      </c>
      <c r="P73" s="152"/>
      <c r="Q73" s="146">
        <f t="shared" si="13"/>
        <v>0</v>
      </c>
      <c r="R73" s="152"/>
      <c r="S73" s="146">
        <f t="shared" si="14"/>
        <v>0</v>
      </c>
      <c r="T73" s="152"/>
      <c r="U73" s="146">
        <f t="shared" si="15"/>
        <v>0</v>
      </c>
      <c r="V73" s="152"/>
      <c r="W73" s="146">
        <f t="shared" si="16"/>
        <v>0</v>
      </c>
      <c r="X73" s="152"/>
      <c r="Y73" s="146">
        <f t="shared" si="17"/>
        <v>0</v>
      </c>
    </row>
    <row r="74" spans="1:25" x14ac:dyDescent="0.25">
      <c r="A74" s="162">
        <v>45872</v>
      </c>
      <c r="B74" s="152"/>
      <c r="C74" s="146">
        <f t="shared" si="10"/>
        <v>20</v>
      </c>
      <c r="D74" s="152"/>
      <c r="E74" s="146">
        <f t="shared" si="10"/>
        <v>44</v>
      </c>
      <c r="F74" s="152"/>
      <c r="G74" s="146">
        <f t="shared" si="10"/>
        <v>48</v>
      </c>
      <c r="H74" s="152"/>
      <c r="I74" s="146">
        <f t="shared" si="10"/>
        <v>0</v>
      </c>
      <c r="J74" s="152"/>
      <c r="K74" s="146">
        <f t="shared" si="10"/>
        <v>42</v>
      </c>
      <c r="L74" s="152"/>
      <c r="M74" s="146">
        <f t="shared" si="11"/>
        <v>43</v>
      </c>
      <c r="N74" s="152"/>
      <c r="O74" s="146">
        <f t="shared" si="12"/>
        <v>3</v>
      </c>
      <c r="P74" s="152"/>
      <c r="Q74" s="146">
        <f t="shared" si="13"/>
        <v>0</v>
      </c>
      <c r="R74" s="152"/>
      <c r="S74" s="146">
        <f t="shared" si="14"/>
        <v>0</v>
      </c>
      <c r="T74" s="152"/>
      <c r="U74" s="146">
        <f t="shared" si="15"/>
        <v>0</v>
      </c>
      <c r="V74" s="152"/>
      <c r="W74" s="146">
        <f t="shared" si="16"/>
        <v>0</v>
      </c>
      <c r="X74" s="152"/>
      <c r="Y74" s="146">
        <f t="shared" si="17"/>
        <v>0</v>
      </c>
    </row>
    <row r="75" spans="1:25" x14ac:dyDescent="0.25">
      <c r="A75" s="162">
        <v>45873</v>
      </c>
      <c r="B75" s="152"/>
      <c r="C75" s="146">
        <f t="shared" si="10"/>
        <v>20</v>
      </c>
      <c r="D75" s="152"/>
      <c r="E75" s="146">
        <f t="shared" si="10"/>
        <v>44</v>
      </c>
      <c r="F75" s="152"/>
      <c r="G75" s="146">
        <f t="shared" si="10"/>
        <v>48</v>
      </c>
      <c r="H75" s="152"/>
      <c r="I75" s="146">
        <f t="shared" si="10"/>
        <v>0</v>
      </c>
      <c r="J75" s="152"/>
      <c r="K75" s="146">
        <f t="shared" si="10"/>
        <v>42</v>
      </c>
      <c r="L75" s="152"/>
      <c r="M75" s="146">
        <f t="shared" si="11"/>
        <v>43</v>
      </c>
      <c r="N75" s="152"/>
      <c r="O75" s="146">
        <f t="shared" si="12"/>
        <v>3</v>
      </c>
      <c r="P75" s="152"/>
      <c r="Q75" s="146">
        <f t="shared" si="13"/>
        <v>0</v>
      </c>
      <c r="R75" s="152"/>
      <c r="S75" s="146">
        <f t="shared" si="14"/>
        <v>0</v>
      </c>
      <c r="T75" s="152"/>
      <c r="U75" s="146">
        <f t="shared" si="15"/>
        <v>0</v>
      </c>
      <c r="V75" s="152"/>
      <c r="W75" s="146">
        <f t="shared" si="16"/>
        <v>0</v>
      </c>
      <c r="X75" s="152"/>
      <c r="Y75" s="146">
        <f t="shared" si="17"/>
        <v>0</v>
      </c>
    </row>
    <row r="76" spans="1:25" x14ac:dyDescent="0.25">
      <c r="A76" s="162">
        <v>45874</v>
      </c>
      <c r="B76" s="152"/>
      <c r="C76" s="146">
        <f t="shared" si="10"/>
        <v>20</v>
      </c>
      <c r="D76" s="152"/>
      <c r="E76" s="146">
        <f t="shared" si="10"/>
        <v>44</v>
      </c>
      <c r="F76" s="152"/>
      <c r="G76" s="146">
        <f t="shared" si="10"/>
        <v>48</v>
      </c>
      <c r="H76" s="152"/>
      <c r="I76" s="146">
        <f t="shared" si="10"/>
        <v>0</v>
      </c>
      <c r="J76" s="152"/>
      <c r="K76" s="146">
        <f t="shared" si="10"/>
        <v>42</v>
      </c>
      <c r="L76" s="152"/>
      <c r="M76" s="146">
        <f t="shared" si="11"/>
        <v>43</v>
      </c>
      <c r="N76" s="152"/>
      <c r="O76" s="146">
        <f t="shared" si="12"/>
        <v>3</v>
      </c>
      <c r="P76" s="152"/>
      <c r="Q76" s="146">
        <f t="shared" si="13"/>
        <v>0</v>
      </c>
      <c r="R76" s="152"/>
      <c r="S76" s="146">
        <f t="shared" si="14"/>
        <v>0</v>
      </c>
      <c r="T76" s="152"/>
      <c r="U76" s="146">
        <f t="shared" si="15"/>
        <v>0</v>
      </c>
      <c r="V76" s="152"/>
      <c r="W76" s="146">
        <f t="shared" si="16"/>
        <v>0</v>
      </c>
      <c r="X76" s="152"/>
      <c r="Y76" s="146">
        <f t="shared" si="17"/>
        <v>0</v>
      </c>
    </row>
    <row r="77" spans="1:25" x14ac:dyDescent="0.25">
      <c r="A77" s="162">
        <v>45875</v>
      </c>
      <c r="B77" s="152"/>
      <c r="C77" s="146">
        <f t="shared" si="10"/>
        <v>20</v>
      </c>
      <c r="D77" s="152"/>
      <c r="E77" s="146">
        <f t="shared" si="10"/>
        <v>44</v>
      </c>
      <c r="F77" s="152"/>
      <c r="G77" s="146">
        <f t="shared" si="10"/>
        <v>48</v>
      </c>
      <c r="H77" s="152"/>
      <c r="I77" s="146">
        <f t="shared" si="10"/>
        <v>0</v>
      </c>
      <c r="J77" s="152"/>
      <c r="K77" s="146">
        <f t="shared" si="10"/>
        <v>42</v>
      </c>
      <c r="L77" s="152"/>
      <c r="M77" s="146">
        <f t="shared" si="11"/>
        <v>43</v>
      </c>
      <c r="N77" s="152"/>
      <c r="O77" s="146">
        <f t="shared" si="12"/>
        <v>3</v>
      </c>
      <c r="P77" s="152"/>
      <c r="Q77" s="146">
        <f t="shared" si="13"/>
        <v>0</v>
      </c>
      <c r="R77" s="152"/>
      <c r="S77" s="146">
        <f t="shared" si="14"/>
        <v>0</v>
      </c>
      <c r="T77" s="152"/>
      <c r="U77" s="146">
        <f t="shared" si="15"/>
        <v>0</v>
      </c>
      <c r="V77" s="152"/>
      <c r="W77" s="146">
        <f t="shared" si="16"/>
        <v>0</v>
      </c>
      <c r="X77" s="152"/>
      <c r="Y77" s="146">
        <f t="shared" si="17"/>
        <v>0</v>
      </c>
    </row>
    <row r="78" spans="1:25" x14ac:dyDescent="0.25">
      <c r="A78" s="162">
        <v>45876</v>
      </c>
      <c r="B78" s="152"/>
      <c r="C78" s="146">
        <f t="shared" si="10"/>
        <v>20</v>
      </c>
      <c r="D78" s="152"/>
      <c r="E78" s="146">
        <f t="shared" si="10"/>
        <v>44</v>
      </c>
      <c r="F78" s="152"/>
      <c r="G78" s="146">
        <f t="shared" si="10"/>
        <v>48</v>
      </c>
      <c r="H78" s="152"/>
      <c r="I78" s="146">
        <f t="shared" si="10"/>
        <v>0</v>
      </c>
      <c r="J78" s="152"/>
      <c r="K78" s="146">
        <f t="shared" si="10"/>
        <v>42</v>
      </c>
      <c r="L78" s="152"/>
      <c r="M78" s="146">
        <f t="shared" si="11"/>
        <v>43</v>
      </c>
      <c r="N78" s="152"/>
      <c r="O78" s="146">
        <f t="shared" si="12"/>
        <v>3</v>
      </c>
      <c r="P78" s="152"/>
      <c r="Q78" s="146">
        <f t="shared" si="13"/>
        <v>0</v>
      </c>
      <c r="R78" s="152"/>
      <c r="S78" s="146">
        <f t="shared" si="14"/>
        <v>0</v>
      </c>
      <c r="T78" s="152"/>
      <c r="U78" s="146">
        <f t="shared" si="15"/>
        <v>0</v>
      </c>
      <c r="V78" s="152"/>
      <c r="W78" s="146">
        <f t="shared" si="16"/>
        <v>0</v>
      </c>
      <c r="X78" s="152"/>
      <c r="Y78" s="146">
        <f t="shared" si="17"/>
        <v>0</v>
      </c>
    </row>
    <row r="79" spans="1:25" x14ac:dyDescent="0.25">
      <c r="A79" s="162">
        <v>45877</v>
      </c>
      <c r="B79" s="152"/>
      <c r="C79" s="146">
        <f t="shared" si="10"/>
        <v>20</v>
      </c>
      <c r="D79" s="152"/>
      <c r="E79" s="146">
        <f t="shared" si="10"/>
        <v>44</v>
      </c>
      <c r="F79" s="152"/>
      <c r="G79" s="146">
        <f t="shared" si="10"/>
        <v>48</v>
      </c>
      <c r="H79" s="152"/>
      <c r="I79" s="146">
        <f t="shared" si="10"/>
        <v>0</v>
      </c>
      <c r="J79" s="152"/>
      <c r="K79" s="146">
        <f t="shared" si="10"/>
        <v>42</v>
      </c>
      <c r="L79" s="152"/>
      <c r="M79" s="146">
        <f t="shared" si="11"/>
        <v>43</v>
      </c>
      <c r="N79" s="152"/>
      <c r="O79" s="146">
        <f t="shared" si="12"/>
        <v>3</v>
      </c>
      <c r="P79" s="152"/>
      <c r="Q79" s="146">
        <f t="shared" si="13"/>
        <v>0</v>
      </c>
      <c r="R79" s="152"/>
      <c r="S79" s="146">
        <f t="shared" si="14"/>
        <v>0</v>
      </c>
      <c r="T79" s="152"/>
      <c r="U79" s="146">
        <f t="shared" si="15"/>
        <v>0</v>
      </c>
      <c r="V79" s="152"/>
      <c r="W79" s="146">
        <f t="shared" si="16"/>
        <v>0</v>
      </c>
      <c r="X79" s="152"/>
      <c r="Y79" s="146">
        <f t="shared" si="17"/>
        <v>0</v>
      </c>
    </row>
    <row r="80" spans="1:25" x14ac:dyDescent="0.25">
      <c r="A80" s="162">
        <v>45878</v>
      </c>
      <c r="B80" s="152"/>
      <c r="C80" s="146">
        <f t="shared" si="10"/>
        <v>20</v>
      </c>
      <c r="D80" s="152"/>
      <c r="E80" s="146">
        <f t="shared" si="10"/>
        <v>44</v>
      </c>
      <c r="F80" s="152"/>
      <c r="G80" s="146">
        <f t="shared" si="10"/>
        <v>48</v>
      </c>
      <c r="H80" s="152"/>
      <c r="I80" s="146">
        <f t="shared" si="10"/>
        <v>0</v>
      </c>
      <c r="J80" s="152"/>
      <c r="K80" s="146">
        <f t="shared" si="10"/>
        <v>42</v>
      </c>
      <c r="L80" s="152"/>
      <c r="M80" s="146">
        <f t="shared" si="11"/>
        <v>43</v>
      </c>
      <c r="N80" s="152"/>
      <c r="O80" s="146">
        <f t="shared" si="12"/>
        <v>3</v>
      </c>
      <c r="P80" s="152"/>
      <c r="Q80" s="146">
        <f t="shared" si="13"/>
        <v>0</v>
      </c>
      <c r="R80" s="152"/>
      <c r="S80" s="146">
        <f t="shared" si="14"/>
        <v>0</v>
      </c>
      <c r="T80" s="152"/>
      <c r="U80" s="146">
        <f t="shared" si="15"/>
        <v>0</v>
      </c>
      <c r="V80" s="152"/>
      <c r="W80" s="146">
        <f t="shared" si="16"/>
        <v>0</v>
      </c>
      <c r="X80" s="152"/>
      <c r="Y80" s="146">
        <f t="shared" si="17"/>
        <v>0</v>
      </c>
    </row>
    <row r="81" spans="1:25" x14ac:dyDescent="0.25">
      <c r="A81" s="162">
        <v>45879</v>
      </c>
      <c r="B81" s="152"/>
      <c r="C81" s="146">
        <f t="shared" si="10"/>
        <v>20</v>
      </c>
      <c r="D81" s="152"/>
      <c r="E81" s="146">
        <f t="shared" si="10"/>
        <v>44</v>
      </c>
      <c r="F81" s="152"/>
      <c r="G81" s="146">
        <f t="shared" si="10"/>
        <v>48</v>
      </c>
      <c r="H81" s="152"/>
      <c r="I81" s="146">
        <f t="shared" si="10"/>
        <v>0</v>
      </c>
      <c r="J81" s="152"/>
      <c r="K81" s="146">
        <f t="shared" si="10"/>
        <v>42</v>
      </c>
      <c r="L81" s="152"/>
      <c r="M81" s="146">
        <f t="shared" si="11"/>
        <v>43</v>
      </c>
      <c r="N81" s="152"/>
      <c r="O81" s="146">
        <f t="shared" si="12"/>
        <v>3</v>
      </c>
      <c r="P81" s="152"/>
      <c r="Q81" s="146">
        <f t="shared" si="13"/>
        <v>0</v>
      </c>
      <c r="R81" s="152"/>
      <c r="S81" s="146">
        <f t="shared" si="14"/>
        <v>0</v>
      </c>
      <c r="T81" s="152"/>
      <c r="U81" s="146">
        <f t="shared" si="15"/>
        <v>0</v>
      </c>
      <c r="V81" s="152"/>
      <c r="W81" s="146">
        <f t="shared" si="16"/>
        <v>0</v>
      </c>
      <c r="X81" s="152"/>
      <c r="Y81" s="146">
        <f t="shared" si="17"/>
        <v>0</v>
      </c>
    </row>
    <row r="82" spans="1:25" x14ac:dyDescent="0.25">
      <c r="A82" s="162">
        <v>45880</v>
      </c>
      <c r="B82" s="152"/>
      <c r="C82" s="146">
        <f t="shared" si="10"/>
        <v>20</v>
      </c>
      <c r="D82" s="152"/>
      <c r="E82" s="146">
        <f t="shared" si="10"/>
        <v>44</v>
      </c>
      <c r="F82" s="152"/>
      <c r="G82" s="146">
        <f t="shared" si="10"/>
        <v>48</v>
      </c>
      <c r="H82" s="152"/>
      <c r="I82" s="146">
        <f t="shared" si="10"/>
        <v>0</v>
      </c>
      <c r="J82" s="152"/>
      <c r="K82" s="146">
        <f t="shared" si="10"/>
        <v>42</v>
      </c>
      <c r="L82" s="152"/>
      <c r="M82" s="146">
        <f t="shared" si="11"/>
        <v>43</v>
      </c>
      <c r="N82" s="152"/>
      <c r="O82" s="146">
        <f t="shared" si="12"/>
        <v>3</v>
      </c>
      <c r="P82" s="152"/>
      <c r="Q82" s="146">
        <f t="shared" si="13"/>
        <v>0</v>
      </c>
      <c r="R82" s="152"/>
      <c r="S82" s="146">
        <f t="shared" si="14"/>
        <v>0</v>
      </c>
      <c r="T82" s="152"/>
      <c r="U82" s="146">
        <f t="shared" si="15"/>
        <v>0</v>
      </c>
      <c r="V82" s="152"/>
      <c r="W82" s="146">
        <f t="shared" si="16"/>
        <v>0</v>
      </c>
      <c r="X82" s="152"/>
      <c r="Y82" s="146">
        <f t="shared" si="17"/>
        <v>0</v>
      </c>
    </row>
    <row r="83" spans="1:25" x14ac:dyDescent="0.25">
      <c r="A83" s="162">
        <v>45881</v>
      </c>
      <c r="B83" s="152"/>
      <c r="C83" s="146">
        <f t="shared" si="10"/>
        <v>20</v>
      </c>
      <c r="D83" s="152"/>
      <c r="E83" s="146">
        <f t="shared" si="10"/>
        <v>44</v>
      </c>
      <c r="F83" s="152"/>
      <c r="G83" s="146">
        <f t="shared" si="10"/>
        <v>48</v>
      </c>
      <c r="H83" s="152"/>
      <c r="I83" s="146">
        <f t="shared" si="10"/>
        <v>0</v>
      </c>
      <c r="J83" s="152"/>
      <c r="K83" s="146">
        <f t="shared" si="10"/>
        <v>42</v>
      </c>
      <c r="L83" s="152"/>
      <c r="M83" s="146">
        <f t="shared" si="11"/>
        <v>43</v>
      </c>
      <c r="N83" s="152"/>
      <c r="O83" s="146">
        <f t="shared" si="12"/>
        <v>3</v>
      </c>
      <c r="P83" s="152"/>
      <c r="Q83" s="146">
        <f t="shared" si="13"/>
        <v>0</v>
      </c>
      <c r="R83" s="152"/>
      <c r="S83" s="146">
        <f t="shared" si="14"/>
        <v>0</v>
      </c>
      <c r="T83" s="152"/>
      <c r="U83" s="146">
        <f t="shared" si="15"/>
        <v>0</v>
      </c>
      <c r="V83" s="152"/>
      <c r="W83" s="146">
        <f t="shared" si="16"/>
        <v>0</v>
      </c>
      <c r="X83" s="152"/>
      <c r="Y83" s="146">
        <f t="shared" si="17"/>
        <v>0</v>
      </c>
    </row>
    <row r="84" spans="1:25" x14ac:dyDescent="0.25">
      <c r="A84" s="162">
        <v>45882</v>
      </c>
      <c r="B84" s="152"/>
      <c r="C84" s="146">
        <f t="shared" si="10"/>
        <v>20</v>
      </c>
      <c r="D84" s="152"/>
      <c r="E84" s="146">
        <f t="shared" si="10"/>
        <v>44</v>
      </c>
      <c r="F84" s="152"/>
      <c r="G84" s="146">
        <f t="shared" si="10"/>
        <v>48</v>
      </c>
      <c r="H84" s="152"/>
      <c r="I84" s="146">
        <f t="shared" si="10"/>
        <v>0</v>
      </c>
      <c r="J84" s="152"/>
      <c r="K84" s="146">
        <f t="shared" si="10"/>
        <v>42</v>
      </c>
      <c r="L84" s="152"/>
      <c r="M84" s="146">
        <f t="shared" si="11"/>
        <v>43</v>
      </c>
      <c r="N84" s="152"/>
      <c r="O84" s="146">
        <f t="shared" si="12"/>
        <v>3</v>
      </c>
      <c r="P84" s="152"/>
      <c r="Q84" s="146">
        <f t="shared" si="13"/>
        <v>0</v>
      </c>
      <c r="R84" s="152"/>
      <c r="S84" s="146">
        <f t="shared" si="14"/>
        <v>0</v>
      </c>
      <c r="T84" s="152"/>
      <c r="U84" s="146">
        <f t="shared" si="15"/>
        <v>0</v>
      </c>
      <c r="V84" s="152"/>
      <c r="W84" s="146">
        <f t="shared" si="16"/>
        <v>0</v>
      </c>
      <c r="X84" s="152"/>
      <c r="Y84" s="146">
        <f t="shared" si="17"/>
        <v>0</v>
      </c>
    </row>
    <row r="85" spans="1:25" x14ac:dyDescent="0.25">
      <c r="A85" s="162">
        <v>45883</v>
      </c>
      <c r="B85" s="152"/>
      <c r="C85" s="146">
        <f t="shared" si="10"/>
        <v>20</v>
      </c>
      <c r="D85" s="152"/>
      <c r="E85" s="146">
        <f t="shared" si="10"/>
        <v>44</v>
      </c>
      <c r="F85" s="152"/>
      <c r="G85" s="146">
        <f t="shared" si="10"/>
        <v>48</v>
      </c>
      <c r="H85" s="152"/>
      <c r="I85" s="146">
        <f t="shared" si="10"/>
        <v>0</v>
      </c>
      <c r="J85" s="152"/>
      <c r="K85" s="146">
        <f t="shared" si="10"/>
        <v>42</v>
      </c>
      <c r="L85" s="152"/>
      <c r="M85" s="146">
        <f t="shared" si="11"/>
        <v>43</v>
      </c>
      <c r="N85" s="152"/>
      <c r="O85" s="146">
        <f t="shared" si="12"/>
        <v>3</v>
      </c>
      <c r="P85" s="152"/>
      <c r="Q85" s="146">
        <f t="shared" si="13"/>
        <v>0</v>
      </c>
      <c r="R85" s="152"/>
      <c r="S85" s="146">
        <f t="shared" si="14"/>
        <v>0</v>
      </c>
      <c r="T85" s="152"/>
      <c r="U85" s="146">
        <f t="shared" si="15"/>
        <v>0</v>
      </c>
      <c r="V85" s="152"/>
      <c r="W85" s="146">
        <f t="shared" si="16"/>
        <v>0</v>
      </c>
      <c r="X85" s="152"/>
      <c r="Y85" s="146">
        <f t="shared" si="17"/>
        <v>0</v>
      </c>
    </row>
    <row r="86" spans="1:25" x14ac:dyDescent="0.25">
      <c r="A86" s="162">
        <v>45884</v>
      </c>
      <c r="B86" s="152"/>
      <c r="C86" s="146">
        <f t="shared" si="10"/>
        <v>20</v>
      </c>
      <c r="D86" s="152"/>
      <c r="E86" s="146">
        <f t="shared" si="10"/>
        <v>44</v>
      </c>
      <c r="F86" s="152"/>
      <c r="G86" s="146">
        <f t="shared" si="10"/>
        <v>48</v>
      </c>
      <c r="H86" s="152"/>
      <c r="I86" s="146">
        <f t="shared" si="10"/>
        <v>0</v>
      </c>
      <c r="J86" s="152"/>
      <c r="K86" s="146">
        <f t="shared" si="10"/>
        <v>42</v>
      </c>
      <c r="L86" s="152"/>
      <c r="M86" s="146">
        <f t="shared" si="11"/>
        <v>43</v>
      </c>
      <c r="N86" s="152"/>
      <c r="O86" s="146">
        <f t="shared" si="12"/>
        <v>3</v>
      </c>
      <c r="P86" s="152"/>
      <c r="Q86" s="146">
        <f t="shared" si="13"/>
        <v>0</v>
      </c>
      <c r="R86" s="152"/>
      <c r="S86" s="146">
        <f t="shared" si="14"/>
        <v>0</v>
      </c>
      <c r="T86" s="152"/>
      <c r="U86" s="146">
        <f t="shared" si="15"/>
        <v>0</v>
      </c>
      <c r="V86" s="152"/>
      <c r="W86" s="146">
        <f t="shared" si="16"/>
        <v>0</v>
      </c>
      <c r="X86" s="152"/>
      <c r="Y86" s="146">
        <f t="shared" si="17"/>
        <v>0</v>
      </c>
    </row>
    <row r="87" spans="1:25" x14ac:dyDescent="0.25">
      <c r="A87" s="162">
        <v>45885</v>
      </c>
      <c r="B87" s="152"/>
      <c r="C87" s="146">
        <f t="shared" si="10"/>
        <v>20</v>
      </c>
      <c r="D87" s="152"/>
      <c r="E87" s="146">
        <f t="shared" si="10"/>
        <v>44</v>
      </c>
      <c r="F87" s="152"/>
      <c r="G87" s="146">
        <f t="shared" si="10"/>
        <v>48</v>
      </c>
      <c r="H87" s="152"/>
      <c r="I87" s="146">
        <f t="shared" si="10"/>
        <v>0</v>
      </c>
      <c r="J87" s="152"/>
      <c r="K87" s="146">
        <f t="shared" si="10"/>
        <v>42</v>
      </c>
      <c r="L87" s="152"/>
      <c r="M87" s="146">
        <f t="shared" si="11"/>
        <v>43</v>
      </c>
      <c r="N87" s="152"/>
      <c r="O87" s="146">
        <f t="shared" si="12"/>
        <v>3</v>
      </c>
      <c r="P87" s="152"/>
      <c r="Q87" s="146">
        <f t="shared" si="13"/>
        <v>0</v>
      </c>
      <c r="R87" s="152"/>
      <c r="S87" s="146">
        <f t="shared" si="14"/>
        <v>0</v>
      </c>
      <c r="T87" s="152"/>
      <c r="U87" s="146">
        <f t="shared" si="15"/>
        <v>0</v>
      </c>
      <c r="V87" s="152"/>
      <c r="W87" s="146">
        <f t="shared" si="16"/>
        <v>0</v>
      </c>
      <c r="X87" s="152"/>
      <c r="Y87" s="146">
        <f t="shared" si="17"/>
        <v>0</v>
      </c>
    </row>
    <row r="88" spans="1:25" x14ac:dyDescent="0.25">
      <c r="A88" s="162">
        <v>45886</v>
      </c>
      <c r="B88" s="152"/>
      <c r="C88" s="146">
        <f t="shared" si="10"/>
        <v>20</v>
      </c>
      <c r="D88" s="152"/>
      <c r="E88" s="146">
        <f t="shared" si="10"/>
        <v>44</v>
      </c>
      <c r="F88" s="152"/>
      <c r="G88" s="146">
        <f t="shared" si="10"/>
        <v>48</v>
      </c>
      <c r="H88" s="152"/>
      <c r="I88" s="146">
        <f t="shared" si="10"/>
        <v>0</v>
      </c>
      <c r="J88" s="152"/>
      <c r="K88" s="146">
        <f t="shared" si="10"/>
        <v>42</v>
      </c>
      <c r="L88" s="152"/>
      <c r="M88" s="146">
        <f t="shared" si="11"/>
        <v>43</v>
      </c>
      <c r="N88" s="152"/>
      <c r="O88" s="146">
        <f t="shared" si="12"/>
        <v>3</v>
      </c>
      <c r="P88" s="152"/>
      <c r="Q88" s="146">
        <f t="shared" si="13"/>
        <v>0</v>
      </c>
      <c r="R88" s="152"/>
      <c r="S88" s="146">
        <f t="shared" si="14"/>
        <v>0</v>
      </c>
      <c r="T88" s="152"/>
      <c r="U88" s="146">
        <f t="shared" si="15"/>
        <v>0</v>
      </c>
      <c r="V88" s="152"/>
      <c r="W88" s="146">
        <f t="shared" si="16"/>
        <v>0</v>
      </c>
      <c r="X88" s="152"/>
      <c r="Y88" s="146">
        <f t="shared" si="17"/>
        <v>0</v>
      </c>
    </row>
    <row r="89" spans="1:25" x14ac:dyDescent="0.25">
      <c r="A89" s="162">
        <v>45887</v>
      </c>
      <c r="B89" s="152"/>
      <c r="C89" s="146">
        <f t="shared" si="10"/>
        <v>20</v>
      </c>
      <c r="D89" s="152"/>
      <c r="E89" s="146">
        <f t="shared" si="10"/>
        <v>44</v>
      </c>
      <c r="F89" s="152"/>
      <c r="G89" s="146">
        <f t="shared" si="10"/>
        <v>48</v>
      </c>
      <c r="H89" s="152"/>
      <c r="I89" s="146">
        <f t="shared" si="10"/>
        <v>0</v>
      </c>
      <c r="J89" s="152"/>
      <c r="K89" s="146">
        <f t="shared" si="10"/>
        <v>42</v>
      </c>
      <c r="L89" s="152"/>
      <c r="M89" s="146">
        <f t="shared" si="11"/>
        <v>43</v>
      </c>
      <c r="N89" s="152"/>
      <c r="O89" s="146">
        <f t="shared" si="12"/>
        <v>3</v>
      </c>
      <c r="P89" s="152"/>
      <c r="Q89" s="146">
        <f t="shared" si="13"/>
        <v>0</v>
      </c>
      <c r="R89" s="152"/>
      <c r="S89" s="146">
        <f t="shared" si="14"/>
        <v>0</v>
      </c>
      <c r="T89" s="152"/>
      <c r="U89" s="146">
        <f t="shared" si="15"/>
        <v>0</v>
      </c>
      <c r="V89" s="152"/>
      <c r="W89" s="146">
        <f t="shared" si="16"/>
        <v>0</v>
      </c>
      <c r="X89" s="152"/>
      <c r="Y89" s="146">
        <f t="shared" si="17"/>
        <v>0</v>
      </c>
    </row>
    <row r="90" spans="1:25" x14ac:dyDescent="0.25">
      <c r="A90" s="162">
        <v>45888</v>
      </c>
      <c r="B90" s="152"/>
      <c r="C90" s="146">
        <f t="shared" si="10"/>
        <v>20</v>
      </c>
      <c r="D90" s="152"/>
      <c r="E90" s="146">
        <f t="shared" si="10"/>
        <v>44</v>
      </c>
      <c r="F90" s="152"/>
      <c r="G90" s="146">
        <f t="shared" si="10"/>
        <v>48</v>
      </c>
      <c r="H90" s="152"/>
      <c r="I90" s="146">
        <f t="shared" si="10"/>
        <v>0</v>
      </c>
      <c r="J90" s="152"/>
      <c r="K90" s="146">
        <f t="shared" si="10"/>
        <v>42</v>
      </c>
      <c r="L90" s="152"/>
      <c r="M90" s="146">
        <f t="shared" si="11"/>
        <v>43</v>
      </c>
      <c r="N90" s="152"/>
      <c r="O90" s="146">
        <f t="shared" si="12"/>
        <v>3</v>
      </c>
      <c r="P90" s="152"/>
      <c r="Q90" s="146">
        <f t="shared" si="13"/>
        <v>0</v>
      </c>
      <c r="R90" s="152"/>
      <c r="S90" s="146">
        <f t="shared" si="14"/>
        <v>0</v>
      </c>
      <c r="T90" s="152"/>
      <c r="U90" s="146">
        <f t="shared" si="15"/>
        <v>0</v>
      </c>
      <c r="V90" s="152"/>
      <c r="W90" s="146">
        <f t="shared" si="16"/>
        <v>0</v>
      </c>
      <c r="X90" s="152"/>
      <c r="Y90" s="146">
        <f t="shared" si="17"/>
        <v>0</v>
      </c>
    </row>
    <row r="91" spans="1:25" x14ac:dyDescent="0.25">
      <c r="A91" s="162">
        <v>45889</v>
      </c>
      <c r="B91" s="152"/>
      <c r="C91" s="146">
        <f t="shared" si="10"/>
        <v>20</v>
      </c>
      <c r="D91" s="152"/>
      <c r="E91" s="146">
        <f t="shared" si="10"/>
        <v>44</v>
      </c>
      <c r="F91" s="152"/>
      <c r="G91" s="146">
        <f t="shared" si="10"/>
        <v>48</v>
      </c>
      <c r="H91" s="152"/>
      <c r="I91" s="146">
        <f t="shared" si="10"/>
        <v>0</v>
      </c>
      <c r="J91" s="152"/>
      <c r="K91" s="146">
        <f t="shared" si="10"/>
        <v>42</v>
      </c>
      <c r="L91" s="152"/>
      <c r="M91" s="146">
        <f t="shared" si="11"/>
        <v>43</v>
      </c>
      <c r="N91" s="152"/>
      <c r="O91" s="146">
        <f t="shared" si="12"/>
        <v>3</v>
      </c>
      <c r="P91" s="152"/>
      <c r="Q91" s="146">
        <f t="shared" si="13"/>
        <v>0</v>
      </c>
      <c r="R91" s="152"/>
      <c r="S91" s="146">
        <f t="shared" si="14"/>
        <v>0</v>
      </c>
      <c r="T91" s="152"/>
      <c r="U91" s="146">
        <f t="shared" si="15"/>
        <v>0</v>
      </c>
      <c r="V91" s="152"/>
      <c r="W91" s="146">
        <f t="shared" si="16"/>
        <v>0</v>
      </c>
      <c r="X91" s="152"/>
      <c r="Y91" s="146">
        <f t="shared" si="17"/>
        <v>0</v>
      </c>
    </row>
    <row r="92" spans="1:25" x14ac:dyDescent="0.25">
      <c r="A92" s="162">
        <v>45890</v>
      </c>
      <c r="B92" s="152"/>
      <c r="C92" s="146">
        <f t="shared" si="10"/>
        <v>20</v>
      </c>
      <c r="D92" s="152"/>
      <c r="E92" s="146">
        <f t="shared" si="10"/>
        <v>44</v>
      </c>
      <c r="F92" s="152"/>
      <c r="G92" s="146">
        <f t="shared" si="10"/>
        <v>48</v>
      </c>
      <c r="H92" s="152"/>
      <c r="I92" s="146">
        <f t="shared" si="10"/>
        <v>0</v>
      </c>
      <c r="J92" s="152"/>
      <c r="K92" s="146">
        <f t="shared" si="10"/>
        <v>42</v>
      </c>
      <c r="L92" s="152"/>
      <c r="M92" s="146">
        <f t="shared" si="11"/>
        <v>43</v>
      </c>
      <c r="N92" s="152"/>
      <c r="O92" s="146">
        <f t="shared" si="12"/>
        <v>3</v>
      </c>
      <c r="P92" s="152"/>
      <c r="Q92" s="146">
        <f t="shared" si="13"/>
        <v>0</v>
      </c>
      <c r="R92" s="152"/>
      <c r="S92" s="146">
        <f t="shared" si="14"/>
        <v>0</v>
      </c>
      <c r="T92" s="152"/>
      <c r="U92" s="146">
        <f t="shared" si="15"/>
        <v>0</v>
      </c>
      <c r="V92" s="152"/>
      <c r="W92" s="146">
        <f t="shared" si="16"/>
        <v>0</v>
      </c>
      <c r="X92" s="152"/>
      <c r="Y92" s="146">
        <f t="shared" si="17"/>
        <v>0</v>
      </c>
    </row>
    <row r="93" spans="1:25" x14ac:dyDescent="0.25">
      <c r="A93" s="162">
        <v>45891</v>
      </c>
      <c r="B93" s="152"/>
      <c r="C93" s="146">
        <f t="shared" si="10"/>
        <v>20</v>
      </c>
      <c r="D93" s="152"/>
      <c r="E93" s="146">
        <f t="shared" si="10"/>
        <v>44</v>
      </c>
      <c r="F93" s="152"/>
      <c r="G93" s="146">
        <f t="shared" si="10"/>
        <v>48</v>
      </c>
      <c r="H93" s="152"/>
      <c r="I93" s="146">
        <f t="shared" si="10"/>
        <v>0</v>
      </c>
      <c r="J93" s="152"/>
      <c r="K93" s="146">
        <f t="shared" si="10"/>
        <v>42</v>
      </c>
      <c r="L93" s="152"/>
      <c r="M93" s="146">
        <f t="shared" si="11"/>
        <v>43</v>
      </c>
      <c r="N93" s="152"/>
      <c r="O93" s="146">
        <f t="shared" si="12"/>
        <v>3</v>
      </c>
      <c r="P93" s="152"/>
      <c r="Q93" s="146">
        <f t="shared" si="13"/>
        <v>0</v>
      </c>
      <c r="R93" s="152"/>
      <c r="S93" s="146">
        <f t="shared" si="14"/>
        <v>0</v>
      </c>
      <c r="T93" s="152"/>
      <c r="U93" s="146">
        <f t="shared" si="15"/>
        <v>0</v>
      </c>
      <c r="V93" s="152"/>
      <c r="W93" s="146">
        <f t="shared" si="16"/>
        <v>0</v>
      </c>
      <c r="X93" s="152"/>
      <c r="Y93" s="146">
        <f t="shared" si="17"/>
        <v>0</v>
      </c>
    </row>
    <row r="94" spans="1:25" x14ac:dyDescent="0.25">
      <c r="A94" s="162">
        <v>45892</v>
      </c>
      <c r="B94" s="152"/>
      <c r="C94" s="146">
        <f t="shared" si="10"/>
        <v>20</v>
      </c>
      <c r="D94" s="152"/>
      <c r="E94" s="146">
        <f t="shared" si="10"/>
        <v>44</v>
      </c>
      <c r="F94" s="152"/>
      <c r="G94" s="146">
        <f t="shared" si="10"/>
        <v>48</v>
      </c>
      <c r="H94" s="152"/>
      <c r="I94" s="146">
        <f t="shared" si="10"/>
        <v>0</v>
      </c>
      <c r="J94" s="152"/>
      <c r="K94" s="146">
        <f t="shared" si="10"/>
        <v>42</v>
      </c>
      <c r="L94" s="152"/>
      <c r="M94" s="146">
        <f t="shared" si="11"/>
        <v>43</v>
      </c>
      <c r="N94" s="152"/>
      <c r="O94" s="146">
        <f t="shared" si="12"/>
        <v>3</v>
      </c>
      <c r="P94" s="152"/>
      <c r="Q94" s="146">
        <f t="shared" si="13"/>
        <v>0</v>
      </c>
      <c r="R94" s="152"/>
      <c r="S94" s="146">
        <f t="shared" si="14"/>
        <v>0</v>
      </c>
      <c r="T94" s="152"/>
      <c r="U94" s="146">
        <f t="shared" si="15"/>
        <v>0</v>
      </c>
      <c r="V94" s="152"/>
      <c r="W94" s="146">
        <f t="shared" si="16"/>
        <v>0</v>
      </c>
      <c r="X94" s="152"/>
      <c r="Y94" s="146">
        <f t="shared" si="17"/>
        <v>0</v>
      </c>
    </row>
    <row r="95" spans="1:25" x14ac:dyDescent="0.25">
      <c r="A95" s="162">
        <v>45893</v>
      </c>
      <c r="B95" s="152"/>
      <c r="C95" s="146">
        <f t="shared" si="10"/>
        <v>20</v>
      </c>
      <c r="D95" s="152"/>
      <c r="E95" s="146">
        <f t="shared" si="10"/>
        <v>44</v>
      </c>
      <c r="F95" s="152"/>
      <c r="G95" s="146">
        <f t="shared" si="10"/>
        <v>48</v>
      </c>
      <c r="H95" s="152"/>
      <c r="I95" s="146">
        <f t="shared" si="10"/>
        <v>0</v>
      </c>
      <c r="J95" s="152"/>
      <c r="K95" s="146">
        <f t="shared" si="10"/>
        <v>42</v>
      </c>
      <c r="L95" s="152"/>
      <c r="M95" s="146">
        <f t="shared" si="11"/>
        <v>43</v>
      </c>
      <c r="N95" s="152"/>
      <c r="O95" s="146">
        <f t="shared" si="12"/>
        <v>3</v>
      </c>
      <c r="P95" s="152"/>
      <c r="Q95" s="146">
        <f t="shared" si="13"/>
        <v>0</v>
      </c>
      <c r="R95" s="152"/>
      <c r="S95" s="146">
        <f t="shared" si="14"/>
        <v>0</v>
      </c>
      <c r="T95" s="152"/>
      <c r="U95" s="146">
        <f t="shared" si="15"/>
        <v>0</v>
      </c>
      <c r="V95" s="152"/>
      <c r="W95" s="146">
        <f t="shared" si="16"/>
        <v>0</v>
      </c>
      <c r="X95" s="152"/>
      <c r="Y95" s="146">
        <f t="shared" si="17"/>
        <v>0</v>
      </c>
    </row>
    <row r="96" spans="1:25" x14ac:dyDescent="0.25">
      <c r="A96" s="162">
        <v>45894</v>
      </c>
      <c r="B96" s="152"/>
      <c r="C96" s="146">
        <f t="shared" si="10"/>
        <v>20</v>
      </c>
      <c r="D96" s="152"/>
      <c r="E96" s="146">
        <f t="shared" si="10"/>
        <v>44</v>
      </c>
      <c r="F96" s="152"/>
      <c r="G96" s="146">
        <f t="shared" si="10"/>
        <v>48</v>
      </c>
      <c r="H96" s="152"/>
      <c r="I96" s="146">
        <f t="shared" si="10"/>
        <v>0</v>
      </c>
      <c r="J96" s="152"/>
      <c r="K96" s="146">
        <f t="shared" si="10"/>
        <v>42</v>
      </c>
      <c r="L96" s="152"/>
      <c r="M96" s="146">
        <f t="shared" si="11"/>
        <v>43</v>
      </c>
      <c r="N96" s="152"/>
      <c r="O96" s="146">
        <f t="shared" si="12"/>
        <v>3</v>
      </c>
      <c r="P96" s="152"/>
      <c r="Q96" s="146">
        <f t="shared" si="13"/>
        <v>0</v>
      </c>
      <c r="R96" s="152"/>
      <c r="S96" s="146">
        <f t="shared" si="14"/>
        <v>0</v>
      </c>
      <c r="T96" s="152"/>
      <c r="U96" s="146">
        <f t="shared" si="15"/>
        <v>0</v>
      </c>
      <c r="V96" s="152"/>
      <c r="W96" s="146">
        <f t="shared" si="16"/>
        <v>0</v>
      </c>
      <c r="X96" s="152"/>
      <c r="Y96" s="146">
        <f t="shared" si="17"/>
        <v>0</v>
      </c>
    </row>
    <row r="97" spans="1:25" x14ac:dyDescent="0.25">
      <c r="A97" s="162">
        <v>45895</v>
      </c>
      <c r="B97" s="152"/>
      <c r="C97" s="146">
        <f t="shared" si="10"/>
        <v>20</v>
      </c>
      <c r="D97" s="152"/>
      <c r="E97" s="146">
        <f t="shared" si="10"/>
        <v>44</v>
      </c>
      <c r="F97" s="152"/>
      <c r="G97" s="146">
        <f t="shared" si="10"/>
        <v>48</v>
      </c>
      <c r="H97" s="152"/>
      <c r="I97" s="146">
        <f t="shared" si="10"/>
        <v>0</v>
      </c>
      <c r="J97" s="152"/>
      <c r="K97" s="146">
        <f t="shared" si="10"/>
        <v>42</v>
      </c>
      <c r="L97" s="152"/>
      <c r="M97" s="146">
        <f t="shared" si="11"/>
        <v>43</v>
      </c>
      <c r="N97" s="152"/>
      <c r="O97" s="146">
        <f t="shared" si="12"/>
        <v>3</v>
      </c>
      <c r="P97" s="152"/>
      <c r="Q97" s="146">
        <f t="shared" si="13"/>
        <v>0</v>
      </c>
      <c r="R97" s="152"/>
      <c r="S97" s="146">
        <f t="shared" si="14"/>
        <v>0</v>
      </c>
      <c r="T97" s="152"/>
      <c r="U97" s="146">
        <f t="shared" si="15"/>
        <v>0</v>
      </c>
      <c r="V97" s="152"/>
      <c r="W97" s="146">
        <f t="shared" si="16"/>
        <v>0</v>
      </c>
      <c r="X97" s="152"/>
      <c r="Y97" s="146">
        <f t="shared" si="17"/>
        <v>0</v>
      </c>
    </row>
    <row r="98" spans="1:25" x14ac:dyDescent="0.25">
      <c r="A98" s="162">
        <v>45896</v>
      </c>
      <c r="B98" s="152"/>
      <c r="C98" s="146">
        <f t="shared" si="10"/>
        <v>20</v>
      </c>
      <c r="D98" s="152"/>
      <c r="E98" s="146">
        <f t="shared" si="10"/>
        <v>44</v>
      </c>
      <c r="F98" s="152"/>
      <c r="G98" s="146">
        <f t="shared" si="10"/>
        <v>48</v>
      </c>
      <c r="H98" s="152"/>
      <c r="I98" s="146">
        <f t="shared" si="10"/>
        <v>0</v>
      </c>
      <c r="J98" s="152"/>
      <c r="K98" s="146">
        <f t="shared" si="10"/>
        <v>42</v>
      </c>
      <c r="L98" s="152"/>
      <c r="M98" s="146">
        <f t="shared" si="11"/>
        <v>43</v>
      </c>
      <c r="N98" s="152"/>
      <c r="O98" s="146">
        <f t="shared" si="12"/>
        <v>3</v>
      </c>
      <c r="P98" s="152"/>
      <c r="Q98" s="146">
        <f t="shared" si="13"/>
        <v>0</v>
      </c>
      <c r="R98" s="152"/>
      <c r="S98" s="146">
        <f t="shared" si="14"/>
        <v>0</v>
      </c>
      <c r="T98" s="152"/>
      <c r="U98" s="146">
        <f t="shared" si="15"/>
        <v>0</v>
      </c>
      <c r="V98" s="152"/>
      <c r="W98" s="146">
        <f t="shared" si="16"/>
        <v>0</v>
      </c>
      <c r="X98" s="152"/>
      <c r="Y98" s="146">
        <f t="shared" si="17"/>
        <v>0</v>
      </c>
    </row>
    <row r="99" spans="1:25" x14ac:dyDescent="0.25">
      <c r="A99" s="162">
        <v>45897</v>
      </c>
      <c r="B99" s="152"/>
      <c r="C99" s="146">
        <f t="shared" si="10"/>
        <v>20</v>
      </c>
      <c r="D99" s="152"/>
      <c r="E99" s="146">
        <f t="shared" si="10"/>
        <v>44</v>
      </c>
      <c r="F99" s="152"/>
      <c r="G99" s="146">
        <f t="shared" si="10"/>
        <v>48</v>
      </c>
      <c r="H99" s="152"/>
      <c r="I99" s="146">
        <f t="shared" si="10"/>
        <v>0</v>
      </c>
      <c r="J99" s="152"/>
      <c r="K99" s="146">
        <f t="shared" si="10"/>
        <v>42</v>
      </c>
      <c r="L99" s="152"/>
      <c r="M99" s="146">
        <f t="shared" si="11"/>
        <v>43</v>
      </c>
      <c r="N99" s="152"/>
      <c r="O99" s="146">
        <f t="shared" si="12"/>
        <v>3</v>
      </c>
      <c r="P99" s="152"/>
      <c r="Q99" s="146">
        <f t="shared" si="13"/>
        <v>0</v>
      </c>
      <c r="R99" s="152"/>
      <c r="S99" s="146">
        <f t="shared" si="14"/>
        <v>0</v>
      </c>
      <c r="T99" s="152"/>
      <c r="U99" s="146">
        <f t="shared" si="15"/>
        <v>0</v>
      </c>
      <c r="V99" s="152"/>
      <c r="W99" s="146">
        <f t="shared" si="16"/>
        <v>0</v>
      </c>
      <c r="X99" s="152"/>
      <c r="Y99" s="146">
        <f t="shared" si="17"/>
        <v>0</v>
      </c>
    </row>
    <row r="100" spans="1:25" x14ac:dyDescent="0.25">
      <c r="A100" s="162">
        <v>45898</v>
      </c>
      <c r="B100" s="152"/>
      <c r="C100" s="146">
        <f t="shared" si="10"/>
        <v>20</v>
      </c>
      <c r="D100" s="152"/>
      <c r="E100" s="146">
        <f t="shared" si="10"/>
        <v>44</v>
      </c>
      <c r="F100" s="152"/>
      <c r="G100" s="146">
        <f t="shared" si="10"/>
        <v>48</v>
      </c>
      <c r="H100" s="152"/>
      <c r="I100" s="146">
        <f t="shared" si="10"/>
        <v>0</v>
      </c>
      <c r="J100" s="152"/>
      <c r="K100" s="146">
        <f t="shared" si="10"/>
        <v>42</v>
      </c>
      <c r="L100" s="152"/>
      <c r="M100" s="146">
        <f t="shared" si="11"/>
        <v>43</v>
      </c>
      <c r="N100" s="152"/>
      <c r="O100" s="146">
        <f t="shared" si="12"/>
        <v>3</v>
      </c>
      <c r="P100" s="152"/>
      <c r="Q100" s="146">
        <f t="shared" si="13"/>
        <v>0</v>
      </c>
      <c r="R100" s="152"/>
      <c r="S100" s="146">
        <f t="shared" si="14"/>
        <v>0</v>
      </c>
      <c r="T100" s="152"/>
      <c r="U100" s="146">
        <f t="shared" si="15"/>
        <v>0</v>
      </c>
      <c r="V100" s="152"/>
      <c r="W100" s="146">
        <f t="shared" si="16"/>
        <v>0</v>
      </c>
      <c r="X100" s="152"/>
      <c r="Y100" s="146">
        <f t="shared" si="17"/>
        <v>0</v>
      </c>
    </row>
    <row r="101" spans="1:25" x14ac:dyDescent="0.25">
      <c r="A101" s="162">
        <v>45899</v>
      </c>
      <c r="B101" s="152"/>
      <c r="C101" s="146">
        <f t="shared" si="10"/>
        <v>20</v>
      </c>
      <c r="D101" s="152"/>
      <c r="E101" s="146">
        <f t="shared" si="10"/>
        <v>44</v>
      </c>
      <c r="F101" s="152"/>
      <c r="G101" s="146">
        <f t="shared" si="10"/>
        <v>48</v>
      </c>
      <c r="H101" s="152"/>
      <c r="I101" s="146">
        <f t="shared" si="10"/>
        <v>0</v>
      </c>
      <c r="J101" s="152"/>
      <c r="K101" s="146">
        <f t="shared" si="10"/>
        <v>42</v>
      </c>
      <c r="L101" s="152"/>
      <c r="M101" s="146">
        <f t="shared" si="11"/>
        <v>43</v>
      </c>
      <c r="N101" s="152"/>
      <c r="O101" s="146">
        <f t="shared" si="12"/>
        <v>3</v>
      </c>
      <c r="P101" s="152"/>
      <c r="Q101" s="146">
        <f t="shared" si="13"/>
        <v>0</v>
      </c>
      <c r="R101" s="152"/>
      <c r="S101" s="146">
        <f t="shared" si="14"/>
        <v>0</v>
      </c>
      <c r="T101" s="152"/>
      <c r="U101" s="146">
        <f t="shared" si="15"/>
        <v>0</v>
      </c>
      <c r="V101" s="152"/>
      <c r="W101" s="146">
        <f t="shared" si="16"/>
        <v>0</v>
      </c>
      <c r="X101" s="152"/>
      <c r="Y101" s="146">
        <f t="shared" si="17"/>
        <v>0</v>
      </c>
    </row>
    <row r="102" spans="1:25" x14ac:dyDescent="0.25">
      <c r="A102" s="162">
        <v>45900</v>
      </c>
      <c r="B102" s="152"/>
      <c r="C102" s="146">
        <f t="shared" si="10"/>
        <v>20</v>
      </c>
      <c r="D102" s="152"/>
      <c r="E102" s="146">
        <f t="shared" si="10"/>
        <v>44</v>
      </c>
      <c r="F102" s="152"/>
      <c r="G102" s="146">
        <f t="shared" si="10"/>
        <v>48</v>
      </c>
      <c r="H102" s="152"/>
      <c r="I102" s="146">
        <f t="shared" si="10"/>
        <v>0</v>
      </c>
      <c r="J102" s="152"/>
      <c r="K102" s="146">
        <f t="shared" si="10"/>
        <v>42</v>
      </c>
      <c r="L102" s="152"/>
      <c r="M102" s="146">
        <f t="shared" si="11"/>
        <v>43</v>
      </c>
      <c r="N102" s="152"/>
      <c r="O102" s="146">
        <f t="shared" si="12"/>
        <v>3</v>
      </c>
      <c r="P102" s="152"/>
      <c r="Q102" s="146">
        <f t="shared" si="13"/>
        <v>0</v>
      </c>
      <c r="R102" s="152"/>
      <c r="S102" s="146">
        <f t="shared" si="14"/>
        <v>0</v>
      </c>
      <c r="T102" s="152"/>
      <c r="U102" s="146">
        <f t="shared" si="15"/>
        <v>0</v>
      </c>
      <c r="V102" s="152"/>
      <c r="W102" s="146">
        <f t="shared" si="16"/>
        <v>0</v>
      </c>
      <c r="X102" s="152"/>
      <c r="Y102" s="146">
        <f t="shared" si="17"/>
        <v>0</v>
      </c>
    </row>
    <row r="103" spans="1:25" x14ac:dyDescent="0.25">
      <c r="A103" s="162">
        <v>45901</v>
      </c>
      <c r="B103" s="152"/>
      <c r="C103" s="146">
        <f t="shared" si="10"/>
        <v>20</v>
      </c>
      <c r="D103" s="152"/>
      <c r="E103" s="146">
        <f t="shared" si="10"/>
        <v>44</v>
      </c>
      <c r="F103" s="152"/>
      <c r="G103" s="146">
        <f t="shared" si="10"/>
        <v>48</v>
      </c>
      <c r="H103" s="152"/>
      <c r="I103" s="146">
        <f t="shared" si="10"/>
        <v>0</v>
      </c>
      <c r="J103" s="152"/>
      <c r="K103" s="146">
        <f t="shared" si="10"/>
        <v>42</v>
      </c>
      <c r="L103" s="152"/>
      <c r="M103" s="146">
        <f t="shared" si="11"/>
        <v>43</v>
      </c>
      <c r="N103" s="152"/>
      <c r="O103" s="146">
        <f t="shared" si="12"/>
        <v>3</v>
      </c>
      <c r="P103" s="152"/>
      <c r="Q103" s="146">
        <f t="shared" si="13"/>
        <v>0</v>
      </c>
      <c r="R103" s="152"/>
      <c r="S103" s="146">
        <f t="shared" si="14"/>
        <v>0</v>
      </c>
      <c r="T103" s="152"/>
      <c r="U103" s="146">
        <f t="shared" si="15"/>
        <v>0</v>
      </c>
      <c r="V103" s="152"/>
      <c r="W103" s="146">
        <f t="shared" si="16"/>
        <v>0</v>
      </c>
      <c r="X103" s="152"/>
      <c r="Y103" s="146">
        <f t="shared" si="17"/>
        <v>0</v>
      </c>
    </row>
    <row r="104" spans="1:25" x14ac:dyDescent="0.25">
      <c r="A104" s="162">
        <v>45902</v>
      </c>
      <c r="B104" s="152"/>
      <c r="C104" s="146">
        <f t="shared" si="10"/>
        <v>20</v>
      </c>
      <c r="D104" s="152"/>
      <c r="E104" s="146">
        <f t="shared" si="10"/>
        <v>44</v>
      </c>
      <c r="F104" s="152"/>
      <c r="G104" s="146">
        <f t="shared" si="10"/>
        <v>48</v>
      </c>
      <c r="H104" s="152"/>
      <c r="I104" s="146">
        <f t="shared" si="10"/>
        <v>0</v>
      </c>
      <c r="J104" s="152"/>
      <c r="K104" s="146">
        <f t="shared" si="10"/>
        <v>42</v>
      </c>
      <c r="L104" s="152"/>
      <c r="M104" s="146">
        <f t="shared" si="11"/>
        <v>43</v>
      </c>
      <c r="N104" s="152"/>
      <c r="O104" s="146">
        <f t="shared" si="12"/>
        <v>3</v>
      </c>
      <c r="P104" s="152"/>
      <c r="Q104" s="146">
        <f t="shared" si="13"/>
        <v>0</v>
      </c>
      <c r="R104" s="152"/>
      <c r="S104" s="146">
        <f t="shared" si="14"/>
        <v>0</v>
      </c>
      <c r="T104" s="152"/>
      <c r="U104" s="146">
        <f t="shared" si="15"/>
        <v>0</v>
      </c>
      <c r="V104" s="152"/>
      <c r="W104" s="146">
        <f t="shared" si="16"/>
        <v>0</v>
      </c>
      <c r="X104" s="152"/>
      <c r="Y104" s="146">
        <f t="shared" si="17"/>
        <v>0</v>
      </c>
    </row>
    <row r="105" spans="1:25" x14ac:dyDescent="0.25">
      <c r="A105" s="162">
        <v>45903</v>
      </c>
      <c r="B105" s="152"/>
      <c r="C105" s="146">
        <f t="shared" si="10"/>
        <v>20</v>
      </c>
      <c r="D105" s="152"/>
      <c r="E105" s="146">
        <f t="shared" si="10"/>
        <v>44</v>
      </c>
      <c r="F105" s="152"/>
      <c r="G105" s="146">
        <f t="shared" si="10"/>
        <v>48</v>
      </c>
      <c r="H105" s="152"/>
      <c r="I105" s="146">
        <f t="shared" si="10"/>
        <v>0</v>
      </c>
      <c r="J105" s="152"/>
      <c r="K105" s="146">
        <f t="shared" si="10"/>
        <v>42</v>
      </c>
      <c r="L105" s="152"/>
      <c r="M105" s="146">
        <f t="shared" si="11"/>
        <v>43</v>
      </c>
      <c r="N105" s="152"/>
      <c r="O105" s="146">
        <f t="shared" si="12"/>
        <v>3</v>
      </c>
      <c r="P105" s="152"/>
      <c r="Q105" s="146">
        <f t="shared" si="13"/>
        <v>0</v>
      </c>
      <c r="R105" s="152"/>
      <c r="S105" s="146">
        <f t="shared" si="14"/>
        <v>0</v>
      </c>
      <c r="T105" s="152"/>
      <c r="U105" s="146">
        <f t="shared" si="15"/>
        <v>0</v>
      </c>
      <c r="V105" s="152"/>
      <c r="W105" s="146">
        <f t="shared" si="16"/>
        <v>0</v>
      </c>
      <c r="X105" s="152"/>
      <c r="Y105" s="146">
        <f t="shared" si="17"/>
        <v>0</v>
      </c>
    </row>
    <row r="106" spans="1:25" x14ac:dyDescent="0.25">
      <c r="A106" s="162">
        <v>45904</v>
      </c>
      <c r="B106" s="152"/>
      <c r="C106" s="146">
        <f t="shared" si="10"/>
        <v>20</v>
      </c>
      <c r="D106" s="152"/>
      <c r="E106" s="146">
        <f t="shared" si="10"/>
        <v>44</v>
      </c>
      <c r="F106" s="152"/>
      <c r="G106" s="146">
        <f t="shared" si="10"/>
        <v>48</v>
      </c>
      <c r="H106" s="152"/>
      <c r="I106" s="146">
        <f t="shared" si="10"/>
        <v>0</v>
      </c>
      <c r="J106" s="152"/>
      <c r="K106" s="146">
        <f t="shared" si="10"/>
        <v>42</v>
      </c>
      <c r="L106" s="152"/>
      <c r="M106" s="146">
        <f t="shared" si="11"/>
        <v>43</v>
      </c>
      <c r="N106" s="152"/>
      <c r="O106" s="146">
        <f t="shared" si="12"/>
        <v>3</v>
      </c>
      <c r="P106" s="152"/>
      <c r="Q106" s="146">
        <f t="shared" si="13"/>
        <v>0</v>
      </c>
      <c r="R106" s="152"/>
      <c r="S106" s="146">
        <f t="shared" si="14"/>
        <v>0</v>
      </c>
      <c r="T106" s="152"/>
      <c r="U106" s="146">
        <f t="shared" si="15"/>
        <v>0</v>
      </c>
      <c r="V106" s="152"/>
      <c r="W106" s="146">
        <f t="shared" si="16"/>
        <v>0</v>
      </c>
      <c r="X106" s="152"/>
      <c r="Y106" s="146">
        <f t="shared" si="17"/>
        <v>0</v>
      </c>
    </row>
    <row r="107" spans="1:25" x14ac:dyDescent="0.25">
      <c r="A107" s="162">
        <v>45905</v>
      </c>
      <c r="B107" s="152"/>
      <c r="C107" s="146">
        <f t="shared" si="10"/>
        <v>20</v>
      </c>
      <c r="D107" s="152"/>
      <c r="E107" s="146">
        <f t="shared" si="10"/>
        <v>44</v>
      </c>
      <c r="F107" s="152"/>
      <c r="G107" s="146">
        <f t="shared" si="10"/>
        <v>48</v>
      </c>
      <c r="H107" s="152"/>
      <c r="I107" s="146">
        <f t="shared" si="10"/>
        <v>0</v>
      </c>
      <c r="J107" s="152"/>
      <c r="K107" s="146">
        <f t="shared" si="10"/>
        <v>42</v>
      </c>
      <c r="L107" s="152"/>
      <c r="M107" s="146">
        <f t="shared" si="11"/>
        <v>43</v>
      </c>
      <c r="N107" s="152"/>
      <c r="O107" s="146">
        <f t="shared" si="12"/>
        <v>3</v>
      </c>
      <c r="P107" s="152"/>
      <c r="Q107" s="146">
        <f t="shared" si="13"/>
        <v>0</v>
      </c>
      <c r="R107" s="152"/>
      <c r="S107" s="146">
        <f t="shared" si="14"/>
        <v>0</v>
      </c>
      <c r="T107" s="152"/>
      <c r="U107" s="146">
        <f t="shared" si="15"/>
        <v>0</v>
      </c>
      <c r="V107" s="152"/>
      <c r="W107" s="146">
        <f t="shared" si="16"/>
        <v>0</v>
      </c>
      <c r="X107" s="152"/>
      <c r="Y107" s="146">
        <f t="shared" si="17"/>
        <v>0</v>
      </c>
    </row>
    <row r="108" spans="1:25" x14ac:dyDescent="0.25">
      <c r="A108" s="162">
        <v>45906</v>
      </c>
      <c r="B108" s="152"/>
      <c r="C108" s="146">
        <f t="shared" si="10"/>
        <v>20</v>
      </c>
      <c r="D108" s="152"/>
      <c r="E108" s="146">
        <f t="shared" si="10"/>
        <v>44</v>
      </c>
      <c r="F108" s="152"/>
      <c r="G108" s="146">
        <f t="shared" si="10"/>
        <v>48</v>
      </c>
      <c r="H108" s="152"/>
      <c r="I108" s="146">
        <f t="shared" si="10"/>
        <v>0</v>
      </c>
      <c r="J108" s="152"/>
      <c r="K108" s="146">
        <f t="shared" si="10"/>
        <v>42</v>
      </c>
      <c r="L108" s="152"/>
      <c r="M108" s="146">
        <f t="shared" si="11"/>
        <v>43</v>
      </c>
      <c r="N108" s="152"/>
      <c r="O108" s="146">
        <f t="shared" si="12"/>
        <v>3</v>
      </c>
      <c r="P108" s="152"/>
      <c r="Q108" s="146">
        <f t="shared" si="13"/>
        <v>0</v>
      </c>
      <c r="R108" s="152"/>
      <c r="S108" s="146">
        <f t="shared" si="14"/>
        <v>0</v>
      </c>
      <c r="T108" s="152"/>
      <c r="U108" s="146">
        <f t="shared" si="15"/>
        <v>0</v>
      </c>
      <c r="V108" s="152"/>
      <c r="W108" s="146">
        <f t="shared" si="16"/>
        <v>0</v>
      </c>
      <c r="X108" s="152"/>
      <c r="Y108" s="146">
        <f t="shared" si="17"/>
        <v>0</v>
      </c>
    </row>
    <row r="109" spans="1:25" x14ac:dyDescent="0.25">
      <c r="A109" s="162">
        <v>45907</v>
      </c>
      <c r="B109" s="152"/>
      <c r="C109" s="146">
        <f t="shared" si="10"/>
        <v>20</v>
      </c>
      <c r="D109" s="152"/>
      <c r="E109" s="146">
        <f t="shared" si="10"/>
        <v>44</v>
      </c>
      <c r="F109" s="152"/>
      <c r="G109" s="146">
        <f t="shared" si="10"/>
        <v>48</v>
      </c>
      <c r="H109" s="152"/>
      <c r="I109" s="146">
        <f t="shared" si="10"/>
        <v>0</v>
      </c>
      <c r="J109" s="152"/>
      <c r="K109" s="146">
        <f t="shared" si="10"/>
        <v>42</v>
      </c>
      <c r="L109" s="152"/>
      <c r="M109" s="146">
        <f t="shared" si="11"/>
        <v>43</v>
      </c>
      <c r="N109" s="152"/>
      <c r="O109" s="146">
        <f t="shared" si="12"/>
        <v>3</v>
      </c>
      <c r="P109" s="152"/>
      <c r="Q109" s="146">
        <f t="shared" si="13"/>
        <v>0</v>
      </c>
      <c r="R109" s="152"/>
      <c r="S109" s="146">
        <f t="shared" si="14"/>
        <v>0</v>
      </c>
      <c r="T109" s="152"/>
      <c r="U109" s="146">
        <f t="shared" si="15"/>
        <v>0</v>
      </c>
      <c r="V109" s="152"/>
      <c r="W109" s="146">
        <f t="shared" si="16"/>
        <v>0</v>
      </c>
      <c r="X109" s="152"/>
      <c r="Y109" s="146">
        <f t="shared" si="17"/>
        <v>0</v>
      </c>
    </row>
    <row r="110" spans="1:25" x14ac:dyDescent="0.25">
      <c r="A110" s="162">
        <v>45908</v>
      </c>
      <c r="B110" s="152"/>
      <c r="C110" s="146">
        <f t="shared" si="10"/>
        <v>20</v>
      </c>
      <c r="D110" s="152"/>
      <c r="E110" s="146">
        <f t="shared" si="10"/>
        <v>44</v>
      </c>
      <c r="F110" s="152"/>
      <c r="G110" s="146">
        <f t="shared" si="10"/>
        <v>48</v>
      </c>
      <c r="H110" s="152"/>
      <c r="I110" s="146">
        <f t="shared" si="10"/>
        <v>0</v>
      </c>
      <c r="J110" s="152"/>
      <c r="K110" s="146">
        <f t="shared" ref="K110:K124" si="18">J110+K109</f>
        <v>42</v>
      </c>
      <c r="L110" s="152"/>
      <c r="M110" s="146">
        <f t="shared" si="11"/>
        <v>43</v>
      </c>
      <c r="N110" s="152"/>
      <c r="O110" s="146">
        <f t="shared" si="12"/>
        <v>3</v>
      </c>
      <c r="P110" s="152"/>
      <c r="Q110" s="146">
        <f t="shared" si="13"/>
        <v>0</v>
      </c>
      <c r="R110" s="152"/>
      <c r="S110" s="146">
        <f t="shared" si="14"/>
        <v>0</v>
      </c>
      <c r="T110" s="152"/>
      <c r="U110" s="146">
        <f t="shared" si="15"/>
        <v>0</v>
      </c>
      <c r="V110" s="152"/>
      <c r="W110" s="146">
        <f t="shared" si="16"/>
        <v>0</v>
      </c>
      <c r="X110" s="152"/>
      <c r="Y110" s="146">
        <f t="shared" si="17"/>
        <v>0</v>
      </c>
    </row>
    <row r="111" spans="1:25" x14ac:dyDescent="0.25">
      <c r="A111" s="162">
        <v>45909</v>
      </c>
      <c r="B111" s="152"/>
      <c r="C111" s="146">
        <f t="shared" si="10"/>
        <v>20</v>
      </c>
      <c r="D111" s="152"/>
      <c r="E111" s="146">
        <f t="shared" si="10"/>
        <v>44</v>
      </c>
      <c r="F111" s="152"/>
      <c r="G111" s="146">
        <f t="shared" si="10"/>
        <v>48</v>
      </c>
      <c r="H111" s="152"/>
      <c r="I111" s="146">
        <f t="shared" si="10"/>
        <v>0</v>
      </c>
      <c r="J111" s="152"/>
      <c r="K111" s="146">
        <f t="shared" si="18"/>
        <v>42</v>
      </c>
      <c r="L111" s="152"/>
      <c r="M111" s="146">
        <f t="shared" si="11"/>
        <v>43</v>
      </c>
      <c r="N111" s="152"/>
      <c r="O111" s="146">
        <f t="shared" si="12"/>
        <v>3</v>
      </c>
      <c r="P111" s="152"/>
      <c r="Q111" s="146">
        <f t="shared" si="13"/>
        <v>0</v>
      </c>
      <c r="R111" s="152"/>
      <c r="S111" s="146">
        <f t="shared" si="14"/>
        <v>0</v>
      </c>
      <c r="T111" s="152"/>
      <c r="U111" s="146">
        <f t="shared" si="15"/>
        <v>0</v>
      </c>
      <c r="V111" s="152"/>
      <c r="W111" s="146">
        <f t="shared" si="16"/>
        <v>0</v>
      </c>
      <c r="X111" s="152"/>
      <c r="Y111" s="146">
        <f t="shared" si="17"/>
        <v>0</v>
      </c>
    </row>
    <row r="112" spans="1:25" x14ac:dyDescent="0.25">
      <c r="A112" s="162">
        <v>45910</v>
      </c>
      <c r="B112" s="152"/>
      <c r="C112" s="146">
        <f t="shared" si="10"/>
        <v>20</v>
      </c>
      <c r="D112" s="152"/>
      <c r="E112" s="146">
        <f t="shared" si="10"/>
        <v>44</v>
      </c>
      <c r="F112" s="152"/>
      <c r="G112" s="146">
        <f t="shared" si="10"/>
        <v>48</v>
      </c>
      <c r="H112" s="152"/>
      <c r="I112" s="146">
        <f t="shared" si="10"/>
        <v>0</v>
      </c>
      <c r="J112" s="152"/>
      <c r="K112" s="146">
        <f t="shared" si="18"/>
        <v>42</v>
      </c>
      <c r="L112" s="152"/>
      <c r="M112" s="146">
        <f t="shared" si="11"/>
        <v>43</v>
      </c>
      <c r="N112" s="152"/>
      <c r="O112" s="146">
        <f t="shared" si="12"/>
        <v>3</v>
      </c>
      <c r="P112" s="152"/>
      <c r="Q112" s="146">
        <f t="shared" si="13"/>
        <v>0</v>
      </c>
      <c r="R112" s="152"/>
      <c r="S112" s="146">
        <f t="shared" si="14"/>
        <v>0</v>
      </c>
      <c r="T112" s="152"/>
      <c r="U112" s="146">
        <f t="shared" si="15"/>
        <v>0</v>
      </c>
      <c r="V112" s="152"/>
      <c r="W112" s="146">
        <f t="shared" si="16"/>
        <v>0</v>
      </c>
      <c r="X112" s="152"/>
      <c r="Y112" s="146">
        <f t="shared" si="17"/>
        <v>0</v>
      </c>
    </row>
    <row r="113" spans="1:25" x14ac:dyDescent="0.25">
      <c r="A113" s="162">
        <v>45911</v>
      </c>
      <c r="B113" s="152"/>
      <c r="C113" s="146">
        <f t="shared" si="10"/>
        <v>20</v>
      </c>
      <c r="D113" s="152"/>
      <c r="E113" s="146">
        <f t="shared" si="10"/>
        <v>44</v>
      </c>
      <c r="F113" s="152"/>
      <c r="G113" s="146">
        <f t="shared" si="10"/>
        <v>48</v>
      </c>
      <c r="H113" s="152"/>
      <c r="I113" s="146">
        <f t="shared" si="10"/>
        <v>0</v>
      </c>
      <c r="J113" s="152"/>
      <c r="K113" s="146">
        <f t="shared" si="18"/>
        <v>42</v>
      </c>
      <c r="L113" s="152"/>
      <c r="M113" s="146">
        <f t="shared" si="11"/>
        <v>43</v>
      </c>
      <c r="N113" s="152"/>
      <c r="O113" s="146">
        <f t="shared" si="12"/>
        <v>3</v>
      </c>
      <c r="P113" s="152"/>
      <c r="Q113" s="146">
        <f t="shared" si="13"/>
        <v>0</v>
      </c>
      <c r="R113" s="152"/>
      <c r="S113" s="146">
        <f t="shared" si="14"/>
        <v>0</v>
      </c>
      <c r="T113" s="152"/>
      <c r="U113" s="146">
        <f t="shared" si="15"/>
        <v>0</v>
      </c>
      <c r="V113" s="152"/>
      <c r="W113" s="146">
        <f t="shared" si="16"/>
        <v>0</v>
      </c>
      <c r="X113" s="152"/>
      <c r="Y113" s="146">
        <f t="shared" si="17"/>
        <v>0</v>
      </c>
    </row>
    <row r="114" spans="1:25" x14ac:dyDescent="0.25">
      <c r="A114" s="162">
        <v>45912</v>
      </c>
      <c r="B114" s="152"/>
      <c r="C114" s="146">
        <f t="shared" si="10"/>
        <v>20</v>
      </c>
      <c r="D114" s="152"/>
      <c r="E114" s="146">
        <f t="shared" si="10"/>
        <v>44</v>
      </c>
      <c r="F114" s="152"/>
      <c r="G114" s="146">
        <f t="shared" si="10"/>
        <v>48</v>
      </c>
      <c r="H114" s="152"/>
      <c r="I114" s="146">
        <f t="shared" si="10"/>
        <v>0</v>
      </c>
      <c r="J114" s="152"/>
      <c r="K114" s="146">
        <f t="shared" si="18"/>
        <v>42</v>
      </c>
      <c r="L114" s="152"/>
      <c r="M114" s="146">
        <f t="shared" si="11"/>
        <v>43</v>
      </c>
      <c r="N114" s="152"/>
      <c r="O114" s="146">
        <f t="shared" si="12"/>
        <v>3</v>
      </c>
      <c r="P114" s="152"/>
      <c r="Q114" s="146">
        <f t="shared" si="13"/>
        <v>0</v>
      </c>
      <c r="R114" s="152"/>
      <c r="S114" s="146">
        <f t="shared" si="14"/>
        <v>0</v>
      </c>
      <c r="T114" s="152"/>
      <c r="U114" s="146">
        <f t="shared" si="15"/>
        <v>0</v>
      </c>
      <c r="V114" s="152"/>
      <c r="W114" s="146">
        <f t="shared" si="16"/>
        <v>0</v>
      </c>
      <c r="X114" s="152"/>
      <c r="Y114" s="146">
        <f t="shared" si="17"/>
        <v>0</v>
      </c>
    </row>
    <row r="115" spans="1:25" x14ac:dyDescent="0.25">
      <c r="A115" s="162">
        <v>45913</v>
      </c>
      <c r="B115" s="152"/>
      <c r="C115" s="146">
        <f t="shared" si="10"/>
        <v>20</v>
      </c>
      <c r="D115" s="152"/>
      <c r="E115" s="146">
        <f t="shared" si="10"/>
        <v>44</v>
      </c>
      <c r="F115" s="152"/>
      <c r="G115" s="146">
        <f t="shared" si="10"/>
        <v>48</v>
      </c>
      <c r="H115" s="152"/>
      <c r="I115" s="146">
        <f t="shared" si="10"/>
        <v>0</v>
      </c>
      <c r="J115" s="152"/>
      <c r="K115" s="146">
        <f t="shared" si="18"/>
        <v>42</v>
      </c>
      <c r="L115" s="152"/>
      <c r="M115" s="146">
        <f t="shared" si="11"/>
        <v>43</v>
      </c>
      <c r="N115" s="152"/>
      <c r="O115" s="146">
        <f t="shared" si="12"/>
        <v>3</v>
      </c>
      <c r="P115" s="152"/>
      <c r="Q115" s="146">
        <f t="shared" si="13"/>
        <v>0</v>
      </c>
      <c r="R115" s="152"/>
      <c r="S115" s="146">
        <f t="shared" si="14"/>
        <v>0</v>
      </c>
      <c r="T115" s="152"/>
      <c r="U115" s="146">
        <f t="shared" si="15"/>
        <v>0</v>
      </c>
      <c r="V115" s="152"/>
      <c r="W115" s="146">
        <f t="shared" si="16"/>
        <v>0</v>
      </c>
      <c r="X115" s="152"/>
      <c r="Y115" s="146">
        <f t="shared" si="17"/>
        <v>0</v>
      </c>
    </row>
    <row r="116" spans="1:25" x14ac:dyDescent="0.25">
      <c r="A116" s="162">
        <v>45914</v>
      </c>
      <c r="B116" s="152"/>
      <c r="C116" s="146">
        <f t="shared" si="10"/>
        <v>20</v>
      </c>
      <c r="D116" s="152"/>
      <c r="E116" s="146">
        <f t="shared" si="10"/>
        <v>44</v>
      </c>
      <c r="F116" s="152"/>
      <c r="G116" s="146">
        <f t="shared" si="10"/>
        <v>48</v>
      </c>
      <c r="H116" s="152"/>
      <c r="I116" s="146">
        <f t="shared" si="10"/>
        <v>0</v>
      </c>
      <c r="J116" s="152"/>
      <c r="K116" s="146">
        <f t="shared" si="18"/>
        <v>42</v>
      </c>
      <c r="L116" s="152"/>
      <c r="M116" s="146">
        <f t="shared" si="11"/>
        <v>43</v>
      </c>
      <c r="N116" s="152"/>
      <c r="O116" s="146">
        <f t="shared" si="12"/>
        <v>3</v>
      </c>
      <c r="P116" s="152"/>
      <c r="Q116" s="146">
        <f t="shared" si="13"/>
        <v>0</v>
      </c>
      <c r="R116" s="152"/>
      <c r="S116" s="146">
        <f t="shared" si="14"/>
        <v>0</v>
      </c>
      <c r="T116" s="152"/>
      <c r="U116" s="146">
        <f t="shared" si="15"/>
        <v>0</v>
      </c>
      <c r="V116" s="152"/>
      <c r="W116" s="146">
        <f t="shared" si="16"/>
        <v>0</v>
      </c>
      <c r="X116" s="152"/>
      <c r="Y116" s="146">
        <f t="shared" si="17"/>
        <v>0</v>
      </c>
    </row>
    <row r="117" spans="1:25" x14ac:dyDescent="0.25">
      <c r="A117" s="162">
        <v>45915</v>
      </c>
      <c r="B117" s="152"/>
      <c r="C117" s="146">
        <f t="shared" si="10"/>
        <v>20</v>
      </c>
      <c r="D117" s="152"/>
      <c r="E117" s="146">
        <f t="shared" si="10"/>
        <v>44</v>
      </c>
      <c r="F117" s="152"/>
      <c r="G117" s="146">
        <f t="shared" si="10"/>
        <v>48</v>
      </c>
      <c r="H117" s="152"/>
      <c r="I117" s="146">
        <f t="shared" si="10"/>
        <v>0</v>
      </c>
      <c r="J117" s="152"/>
      <c r="K117" s="146">
        <f t="shared" si="18"/>
        <v>42</v>
      </c>
      <c r="L117" s="152"/>
      <c r="M117" s="146">
        <f t="shared" si="11"/>
        <v>43</v>
      </c>
      <c r="N117" s="152"/>
      <c r="O117" s="146">
        <f t="shared" si="12"/>
        <v>3</v>
      </c>
      <c r="P117" s="152"/>
      <c r="Q117" s="146">
        <f t="shared" si="13"/>
        <v>0</v>
      </c>
      <c r="R117" s="152"/>
      <c r="S117" s="146">
        <f t="shared" si="14"/>
        <v>0</v>
      </c>
      <c r="T117" s="152"/>
      <c r="U117" s="146">
        <f t="shared" si="15"/>
        <v>0</v>
      </c>
      <c r="V117" s="152"/>
      <c r="W117" s="146">
        <f t="shared" si="16"/>
        <v>0</v>
      </c>
      <c r="X117" s="152"/>
      <c r="Y117" s="146">
        <f t="shared" si="17"/>
        <v>0</v>
      </c>
    </row>
    <row r="118" spans="1:25" x14ac:dyDescent="0.25">
      <c r="A118" s="162">
        <v>45916</v>
      </c>
      <c r="B118" s="152"/>
      <c r="C118" s="146">
        <f t="shared" si="10"/>
        <v>20</v>
      </c>
      <c r="D118" s="152"/>
      <c r="E118" s="146">
        <f t="shared" si="10"/>
        <v>44</v>
      </c>
      <c r="F118" s="152"/>
      <c r="G118" s="146">
        <f t="shared" si="10"/>
        <v>48</v>
      </c>
      <c r="H118" s="152"/>
      <c r="I118" s="146">
        <f t="shared" si="10"/>
        <v>0</v>
      </c>
      <c r="J118" s="152"/>
      <c r="K118" s="146">
        <f t="shared" si="18"/>
        <v>42</v>
      </c>
      <c r="L118" s="152"/>
      <c r="M118" s="146">
        <f t="shared" si="11"/>
        <v>43</v>
      </c>
      <c r="N118" s="152"/>
      <c r="O118" s="146">
        <f t="shared" si="12"/>
        <v>3</v>
      </c>
      <c r="P118" s="152"/>
      <c r="Q118" s="146">
        <f t="shared" si="13"/>
        <v>0</v>
      </c>
      <c r="R118" s="152"/>
      <c r="S118" s="146">
        <f t="shared" si="14"/>
        <v>0</v>
      </c>
      <c r="T118" s="152"/>
      <c r="U118" s="146">
        <f t="shared" si="15"/>
        <v>0</v>
      </c>
      <c r="V118" s="152"/>
      <c r="W118" s="146">
        <f t="shared" si="16"/>
        <v>0</v>
      </c>
      <c r="X118" s="152"/>
      <c r="Y118" s="146">
        <f t="shared" si="17"/>
        <v>0</v>
      </c>
    </row>
    <row r="119" spans="1:25" x14ac:dyDescent="0.25">
      <c r="A119" s="162">
        <v>45917</v>
      </c>
      <c r="B119" s="152"/>
      <c r="C119" s="146">
        <f t="shared" si="10"/>
        <v>20</v>
      </c>
      <c r="D119" s="152"/>
      <c r="E119" s="146">
        <f t="shared" si="10"/>
        <v>44</v>
      </c>
      <c r="F119" s="152"/>
      <c r="G119" s="146">
        <f t="shared" si="10"/>
        <v>48</v>
      </c>
      <c r="H119" s="152"/>
      <c r="I119" s="146">
        <f t="shared" si="10"/>
        <v>0</v>
      </c>
      <c r="J119" s="152"/>
      <c r="K119" s="146">
        <f t="shared" si="18"/>
        <v>42</v>
      </c>
      <c r="L119" s="152"/>
      <c r="M119" s="146">
        <f t="shared" si="11"/>
        <v>43</v>
      </c>
      <c r="N119" s="152"/>
      <c r="O119" s="146">
        <f t="shared" si="12"/>
        <v>3</v>
      </c>
      <c r="P119" s="152"/>
      <c r="Q119" s="146">
        <f t="shared" si="13"/>
        <v>0</v>
      </c>
      <c r="R119" s="152"/>
      <c r="S119" s="146">
        <f t="shared" si="14"/>
        <v>0</v>
      </c>
      <c r="T119" s="152"/>
      <c r="U119" s="146">
        <f t="shared" si="15"/>
        <v>0</v>
      </c>
      <c r="V119" s="152"/>
      <c r="W119" s="146">
        <f t="shared" si="16"/>
        <v>0</v>
      </c>
      <c r="X119" s="152"/>
      <c r="Y119" s="146">
        <f t="shared" si="17"/>
        <v>0</v>
      </c>
    </row>
    <row r="120" spans="1:25" x14ac:dyDescent="0.25">
      <c r="A120" s="162">
        <v>45918</v>
      </c>
      <c r="B120" s="152"/>
      <c r="C120" s="146">
        <f t="shared" si="10"/>
        <v>20</v>
      </c>
      <c r="D120" s="152"/>
      <c r="E120" s="146">
        <f t="shared" si="10"/>
        <v>44</v>
      </c>
      <c r="F120" s="152"/>
      <c r="G120" s="146">
        <f t="shared" si="10"/>
        <v>48</v>
      </c>
      <c r="H120" s="152"/>
      <c r="I120" s="146">
        <f t="shared" si="10"/>
        <v>0</v>
      </c>
      <c r="J120" s="152"/>
      <c r="K120" s="146">
        <f t="shared" si="18"/>
        <v>42</v>
      </c>
      <c r="L120" s="152"/>
      <c r="M120" s="146">
        <f t="shared" si="11"/>
        <v>43</v>
      </c>
      <c r="N120" s="152"/>
      <c r="O120" s="146">
        <f t="shared" si="12"/>
        <v>3</v>
      </c>
      <c r="P120" s="152"/>
      <c r="Q120" s="146">
        <f t="shared" si="13"/>
        <v>0</v>
      </c>
      <c r="R120" s="152"/>
      <c r="S120" s="146">
        <f t="shared" si="14"/>
        <v>0</v>
      </c>
      <c r="T120" s="152"/>
      <c r="U120" s="146">
        <f t="shared" si="15"/>
        <v>0</v>
      </c>
      <c r="V120" s="152"/>
      <c r="W120" s="146">
        <f t="shared" si="16"/>
        <v>0</v>
      </c>
      <c r="X120" s="152"/>
      <c r="Y120" s="146">
        <f t="shared" si="17"/>
        <v>0</v>
      </c>
    </row>
    <row r="121" spans="1:25" x14ac:dyDescent="0.25">
      <c r="A121" s="162">
        <v>45919</v>
      </c>
      <c r="B121" s="152"/>
      <c r="C121" s="146">
        <f t="shared" si="10"/>
        <v>20</v>
      </c>
      <c r="D121" s="152"/>
      <c r="E121" s="146">
        <f t="shared" si="10"/>
        <v>44</v>
      </c>
      <c r="F121" s="152"/>
      <c r="G121" s="146">
        <f t="shared" si="10"/>
        <v>48</v>
      </c>
      <c r="H121" s="152"/>
      <c r="I121" s="146">
        <f t="shared" si="10"/>
        <v>0</v>
      </c>
      <c r="J121" s="152"/>
      <c r="K121" s="146">
        <f t="shared" si="18"/>
        <v>42</v>
      </c>
      <c r="L121" s="152"/>
      <c r="M121" s="146">
        <f t="shared" si="11"/>
        <v>43</v>
      </c>
      <c r="N121" s="152"/>
      <c r="O121" s="146">
        <f t="shared" si="12"/>
        <v>3</v>
      </c>
      <c r="P121" s="152"/>
      <c r="Q121" s="146">
        <f t="shared" si="13"/>
        <v>0</v>
      </c>
      <c r="R121" s="152"/>
      <c r="S121" s="146">
        <f t="shared" si="14"/>
        <v>0</v>
      </c>
      <c r="T121" s="152"/>
      <c r="U121" s="146">
        <f t="shared" si="15"/>
        <v>0</v>
      </c>
      <c r="V121" s="152"/>
      <c r="W121" s="146">
        <f t="shared" si="16"/>
        <v>0</v>
      </c>
      <c r="X121" s="152"/>
      <c r="Y121" s="146">
        <f t="shared" si="17"/>
        <v>0</v>
      </c>
    </row>
    <row r="122" spans="1:25" x14ac:dyDescent="0.25">
      <c r="A122" s="162">
        <v>45920</v>
      </c>
      <c r="B122" s="152"/>
      <c r="C122" s="146">
        <f t="shared" si="10"/>
        <v>20</v>
      </c>
      <c r="D122" s="152"/>
      <c r="E122" s="146">
        <f t="shared" si="10"/>
        <v>44</v>
      </c>
      <c r="F122" s="152"/>
      <c r="G122" s="146">
        <f t="shared" si="10"/>
        <v>48</v>
      </c>
      <c r="H122" s="152"/>
      <c r="I122" s="146">
        <f t="shared" si="10"/>
        <v>0</v>
      </c>
      <c r="J122" s="152"/>
      <c r="K122" s="146">
        <f t="shared" si="18"/>
        <v>42</v>
      </c>
      <c r="L122" s="152"/>
      <c r="M122" s="146">
        <f t="shared" si="11"/>
        <v>43</v>
      </c>
      <c r="N122" s="152"/>
      <c r="O122" s="146">
        <f t="shared" si="12"/>
        <v>3</v>
      </c>
      <c r="P122" s="152"/>
      <c r="Q122" s="146">
        <f t="shared" si="13"/>
        <v>0</v>
      </c>
      <c r="R122" s="152"/>
      <c r="S122" s="146">
        <f t="shared" si="14"/>
        <v>0</v>
      </c>
      <c r="T122" s="152"/>
      <c r="U122" s="146">
        <f t="shared" si="15"/>
        <v>0</v>
      </c>
      <c r="V122" s="152"/>
      <c r="W122" s="146">
        <f t="shared" si="16"/>
        <v>0</v>
      </c>
      <c r="X122" s="152"/>
      <c r="Y122" s="146">
        <f t="shared" si="17"/>
        <v>0</v>
      </c>
    </row>
    <row r="123" spans="1:25" x14ac:dyDescent="0.25">
      <c r="A123" s="162">
        <v>45921</v>
      </c>
      <c r="B123" s="152"/>
      <c r="C123" s="146">
        <f t="shared" si="10"/>
        <v>20</v>
      </c>
      <c r="D123" s="152"/>
      <c r="E123" s="146">
        <f t="shared" si="10"/>
        <v>44</v>
      </c>
      <c r="F123" s="152"/>
      <c r="G123" s="146">
        <f t="shared" si="10"/>
        <v>48</v>
      </c>
      <c r="H123" s="152"/>
      <c r="I123" s="146">
        <f t="shared" si="10"/>
        <v>0</v>
      </c>
      <c r="J123" s="152"/>
      <c r="K123" s="146">
        <f t="shared" si="18"/>
        <v>42</v>
      </c>
      <c r="L123" s="152"/>
      <c r="M123" s="146">
        <f t="shared" si="11"/>
        <v>43</v>
      </c>
      <c r="N123" s="152"/>
      <c r="O123" s="146">
        <f t="shared" si="12"/>
        <v>3</v>
      </c>
      <c r="P123" s="152"/>
      <c r="Q123" s="146">
        <f t="shared" si="13"/>
        <v>0</v>
      </c>
      <c r="R123" s="152"/>
      <c r="S123" s="146">
        <f t="shared" si="14"/>
        <v>0</v>
      </c>
      <c r="T123" s="152"/>
      <c r="U123" s="146">
        <f t="shared" si="15"/>
        <v>0</v>
      </c>
      <c r="V123" s="152"/>
      <c r="W123" s="146">
        <f t="shared" si="16"/>
        <v>0</v>
      </c>
      <c r="X123" s="152"/>
      <c r="Y123" s="146">
        <f t="shared" si="17"/>
        <v>0</v>
      </c>
    </row>
    <row r="124" spans="1:25" x14ac:dyDescent="0.25">
      <c r="A124" s="162">
        <v>45922</v>
      </c>
      <c r="B124" s="152"/>
      <c r="C124" s="146">
        <f t="shared" si="10"/>
        <v>20</v>
      </c>
      <c r="D124" s="152"/>
      <c r="E124" s="146">
        <f t="shared" si="10"/>
        <v>44</v>
      </c>
      <c r="F124" s="152"/>
      <c r="G124" s="146">
        <f t="shared" si="10"/>
        <v>48</v>
      </c>
      <c r="H124" s="152"/>
      <c r="I124" s="146">
        <f t="shared" si="10"/>
        <v>0</v>
      </c>
      <c r="J124" s="152"/>
      <c r="K124" s="146">
        <f t="shared" si="18"/>
        <v>42</v>
      </c>
      <c r="L124" s="152"/>
      <c r="M124" s="146">
        <f t="shared" si="11"/>
        <v>43</v>
      </c>
      <c r="N124" s="152"/>
      <c r="O124" s="146">
        <f t="shared" si="12"/>
        <v>3</v>
      </c>
      <c r="P124" s="152"/>
      <c r="Q124" s="146">
        <f t="shared" si="13"/>
        <v>0</v>
      </c>
      <c r="R124" s="152"/>
      <c r="S124" s="146">
        <f t="shared" si="14"/>
        <v>0</v>
      </c>
      <c r="T124" s="152"/>
      <c r="U124" s="146">
        <f t="shared" si="15"/>
        <v>0</v>
      </c>
      <c r="V124" s="152"/>
      <c r="W124" s="146">
        <f t="shared" si="16"/>
        <v>0</v>
      </c>
      <c r="X124" s="152"/>
      <c r="Y124" s="146">
        <f t="shared" si="17"/>
        <v>0</v>
      </c>
    </row>
  </sheetData>
  <mergeCells count="15">
    <mergeCell ref="B2:M2"/>
    <mergeCell ref="N2:W2"/>
    <mergeCell ref="X2:Y2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</mergeCells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11"/>
  </sheetPr>
  <dimension ref="A1:T123"/>
  <sheetViews>
    <sheetView zoomScale="85" zoomScaleNormal="85" workbookViewId="0">
      <pane xSplit="1" ySplit="3" topLeftCell="B25" activePane="bottomRight" state="frozen"/>
      <selection pane="topRight" activeCell="B1" sqref="B1"/>
      <selection pane="bottomLeft" activeCell="A4" sqref="A4"/>
      <selection pane="bottomRight" activeCell="D43" sqref="D43"/>
    </sheetView>
  </sheetViews>
  <sheetFormatPr defaultRowHeight="16.5" x14ac:dyDescent="0.25"/>
  <cols>
    <col min="1" max="1" width="20.75" customWidth="1"/>
    <col min="2" max="3" width="6.375" customWidth="1"/>
    <col min="4" max="5" width="23.375" customWidth="1"/>
    <col min="6" max="7" width="9.75" customWidth="1"/>
    <col min="8" max="9" width="12.75" customWidth="1"/>
    <col min="10" max="11" width="0" hidden="1" customWidth="1"/>
    <col min="12" max="13" width="20.75" customWidth="1"/>
    <col min="14" max="14" width="23.375" customWidth="1"/>
    <col min="15" max="15" width="32.75" customWidth="1"/>
    <col min="16" max="17" width="9.75" customWidth="1"/>
    <col min="18" max="19" width="12.75" customWidth="1"/>
    <col min="20" max="20" width="9.75" customWidth="1"/>
  </cols>
  <sheetData>
    <row r="1" spans="1:20" hidden="1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</row>
    <row r="2" spans="1:20" x14ac:dyDescent="0.25">
      <c r="F2" t="s">
        <v>331</v>
      </c>
      <c r="G2">
        <v>120</v>
      </c>
      <c r="H2" s="283" t="s">
        <v>338</v>
      </c>
      <c r="I2" s="283"/>
    </row>
    <row r="3" spans="1:20" ht="33" customHeight="1" x14ac:dyDescent="0.25">
      <c r="A3" s="153" t="s">
        <v>325</v>
      </c>
      <c r="B3" s="282" t="s">
        <v>470</v>
      </c>
      <c r="C3" s="282"/>
      <c r="D3" s="154" t="s">
        <v>329</v>
      </c>
      <c r="E3" s="154" t="s">
        <v>330</v>
      </c>
      <c r="F3" s="155" t="s">
        <v>332</v>
      </c>
      <c r="G3" s="155" t="s">
        <v>333</v>
      </c>
      <c r="H3" s="156" t="s">
        <v>334</v>
      </c>
      <c r="I3" s="156" t="s">
        <v>327</v>
      </c>
      <c r="J3" s="80" t="s">
        <v>335</v>
      </c>
      <c r="K3" s="80" t="s">
        <v>336</v>
      </c>
      <c r="L3" s="155" t="s">
        <v>339</v>
      </c>
      <c r="M3" s="157" t="s">
        <v>340</v>
      </c>
      <c r="N3" s="158" t="s">
        <v>337</v>
      </c>
      <c r="O3" s="155" t="s">
        <v>341</v>
      </c>
      <c r="P3" s="156" t="s">
        <v>342</v>
      </c>
      <c r="Q3" s="156" t="s">
        <v>343</v>
      </c>
      <c r="R3" s="155" t="s">
        <v>344</v>
      </c>
      <c r="S3" s="155" t="s">
        <v>345</v>
      </c>
      <c r="T3" s="159" t="s">
        <v>346</v>
      </c>
    </row>
    <row r="4" spans="1:20" ht="30" customHeight="1" x14ac:dyDescent="0.25">
      <c r="A4" s="144">
        <v>45803</v>
      </c>
      <c r="B4" s="128" t="s">
        <v>328</v>
      </c>
      <c r="C4" s="128" t="s">
        <v>328</v>
      </c>
      <c r="D4" s="177" t="s">
        <v>498</v>
      </c>
      <c r="E4" s="145"/>
      <c r="F4" s="149">
        <v>1</v>
      </c>
      <c r="G4" s="149">
        <f>$G$2-F4</f>
        <v>119</v>
      </c>
      <c r="H4" s="160">
        <v>1.15E-3</v>
      </c>
      <c r="I4" s="160">
        <f>H4</f>
        <v>1.15E-3</v>
      </c>
      <c r="N4" s="147"/>
      <c r="P4" s="148">
        <v>1</v>
      </c>
      <c r="Q4" s="148">
        <v>1</v>
      </c>
      <c r="R4" s="150">
        <f>S4</f>
        <v>1.3854545011200014E-2</v>
      </c>
      <c r="S4" s="150">
        <f>'No1'!H8</f>
        <v>1.3854545011200014E-2</v>
      </c>
      <c r="T4" s="145"/>
    </row>
    <row r="5" spans="1:20" ht="30" customHeight="1" x14ac:dyDescent="0.25">
      <c r="A5" s="144">
        <v>45804</v>
      </c>
      <c r="B5" s="128" t="s">
        <v>328</v>
      </c>
      <c r="C5" s="128" t="s">
        <v>328</v>
      </c>
      <c r="D5" s="145" t="s">
        <v>497</v>
      </c>
      <c r="E5" s="145"/>
      <c r="F5" s="149">
        <v>2</v>
      </c>
      <c r="G5" s="149">
        <f t="shared" ref="G5:G68" si="0">$G$2-F5</f>
        <v>118</v>
      </c>
      <c r="H5" s="160">
        <v>1.15E-3</v>
      </c>
      <c r="I5" s="160">
        <f>I4+H5</f>
        <v>2.3E-3</v>
      </c>
      <c r="N5" s="147"/>
      <c r="P5" s="148">
        <v>2</v>
      </c>
      <c r="Q5" s="148">
        <v>2</v>
      </c>
      <c r="R5" s="150">
        <f t="shared" ref="R5:R68" si="1">S5</f>
        <v>2.7420915486167069E-2</v>
      </c>
      <c r="S5" s="150">
        <f>'No1'!H9</f>
        <v>2.7420915486167069E-2</v>
      </c>
      <c r="T5" s="145"/>
    </row>
    <row r="6" spans="1:20" ht="30" customHeight="1" x14ac:dyDescent="0.25">
      <c r="A6" s="144">
        <v>45805</v>
      </c>
      <c r="B6" s="128" t="s">
        <v>328</v>
      </c>
      <c r="C6" s="128" t="s">
        <v>328</v>
      </c>
      <c r="D6" s="145" t="s">
        <v>497</v>
      </c>
      <c r="E6" s="145"/>
      <c r="F6" s="149">
        <v>3</v>
      </c>
      <c r="G6" s="149">
        <f t="shared" si="0"/>
        <v>117</v>
      </c>
      <c r="H6" s="160">
        <v>1.15E-3</v>
      </c>
      <c r="I6" s="160">
        <f t="shared" ref="I6:I69" si="2">I5+H6</f>
        <v>3.4499999999999999E-3</v>
      </c>
      <c r="N6" s="147"/>
      <c r="P6" s="148">
        <v>3</v>
      </c>
      <c r="Q6" s="148">
        <v>3</v>
      </c>
      <c r="R6" s="150">
        <f t="shared" si="1"/>
        <v>4.0987285961134122E-2</v>
      </c>
      <c r="S6" s="150">
        <f>'No1'!H10</f>
        <v>4.0987285961134122E-2</v>
      </c>
      <c r="T6" s="145"/>
    </row>
    <row r="7" spans="1:20" ht="30" customHeight="1" x14ac:dyDescent="0.25">
      <c r="A7" s="144">
        <v>45806</v>
      </c>
      <c r="B7" s="128" t="s">
        <v>328</v>
      </c>
      <c r="C7" s="128" t="s">
        <v>328</v>
      </c>
      <c r="D7" s="145" t="s">
        <v>500</v>
      </c>
      <c r="E7" s="145"/>
      <c r="F7" s="149">
        <v>4</v>
      </c>
      <c r="G7" s="149">
        <f t="shared" si="0"/>
        <v>116</v>
      </c>
      <c r="H7" s="160">
        <v>1.15E-3</v>
      </c>
      <c r="I7" s="160">
        <f t="shared" si="2"/>
        <v>4.5999999999999999E-3</v>
      </c>
      <c r="N7" s="147"/>
      <c r="P7" s="148">
        <v>4</v>
      </c>
      <c r="Q7" s="148">
        <v>4</v>
      </c>
      <c r="R7" s="150">
        <f t="shared" si="1"/>
        <v>4.0987285961134122E-2</v>
      </c>
      <c r="S7" s="150">
        <f>'No1'!H11</f>
        <v>4.0987285961134122E-2</v>
      </c>
      <c r="T7" s="145"/>
    </row>
    <row r="8" spans="1:20" ht="30" customHeight="1" x14ac:dyDescent="0.25">
      <c r="A8" s="144">
        <v>45807</v>
      </c>
      <c r="B8" s="128" t="s">
        <v>328</v>
      </c>
      <c r="C8" s="128" t="s">
        <v>328</v>
      </c>
      <c r="D8" s="145" t="s">
        <v>500</v>
      </c>
      <c r="E8" s="145"/>
      <c r="F8" s="149">
        <v>5</v>
      </c>
      <c r="G8" s="149">
        <f t="shared" si="0"/>
        <v>115</v>
      </c>
      <c r="H8" s="160">
        <v>1.15E-3</v>
      </c>
      <c r="I8" s="160">
        <f t="shared" si="2"/>
        <v>5.7499999999999999E-3</v>
      </c>
      <c r="J8" s="8"/>
      <c r="N8" s="147"/>
      <c r="P8" s="148">
        <v>5</v>
      </c>
      <c r="Q8" s="148">
        <v>5</v>
      </c>
      <c r="R8" s="150">
        <f t="shared" si="1"/>
        <v>4.0987285961134122E-2</v>
      </c>
      <c r="S8" s="150">
        <f>'No1'!H12</f>
        <v>4.0987285961134122E-2</v>
      </c>
      <c r="T8" s="145"/>
    </row>
    <row r="9" spans="1:20" ht="30" customHeight="1" x14ac:dyDescent="0.25">
      <c r="A9" s="144">
        <v>45808</v>
      </c>
      <c r="B9" s="128" t="s">
        <v>328</v>
      </c>
      <c r="C9" s="128" t="s">
        <v>328</v>
      </c>
      <c r="D9" s="145" t="s">
        <v>500</v>
      </c>
      <c r="E9" s="145"/>
      <c r="F9" s="149">
        <v>6</v>
      </c>
      <c r="G9" s="149">
        <f t="shared" si="0"/>
        <v>114</v>
      </c>
      <c r="H9" s="160">
        <v>1.15E-3</v>
      </c>
      <c r="I9" s="160">
        <f t="shared" si="2"/>
        <v>6.8999999999999999E-3</v>
      </c>
      <c r="J9" s="8">
        <f>I9</f>
        <v>6.8999999999999999E-3</v>
      </c>
      <c r="N9" s="147"/>
      <c r="P9" s="148">
        <v>6</v>
      </c>
      <c r="Q9" s="148">
        <v>6</v>
      </c>
      <c r="R9" s="150">
        <f t="shared" si="1"/>
        <v>4.0987285961134122E-2</v>
      </c>
      <c r="S9" s="150">
        <f>'No1'!H13</f>
        <v>4.0987285961134122E-2</v>
      </c>
      <c r="T9" s="145"/>
    </row>
    <row r="10" spans="1:20" ht="30" customHeight="1" x14ac:dyDescent="0.25">
      <c r="A10" s="144">
        <v>45809</v>
      </c>
      <c r="B10" s="128" t="s">
        <v>328</v>
      </c>
      <c r="C10" s="128" t="s">
        <v>328</v>
      </c>
      <c r="D10" s="145" t="s">
        <v>488</v>
      </c>
      <c r="E10" s="145"/>
      <c r="F10" s="149">
        <v>7</v>
      </c>
      <c r="G10" s="149">
        <f t="shared" si="0"/>
        <v>113</v>
      </c>
      <c r="H10" s="160">
        <v>1.15E-3</v>
      </c>
      <c r="I10" s="160">
        <f t="shared" si="2"/>
        <v>8.0499999999999999E-3</v>
      </c>
      <c r="N10" s="147"/>
      <c r="P10" s="148">
        <v>7</v>
      </c>
      <c r="Q10" s="148">
        <v>7</v>
      </c>
      <c r="R10" s="150">
        <f t="shared" si="1"/>
        <v>4.4312376763822124E-2</v>
      </c>
      <c r="S10" s="150">
        <f>'No1'!H14</f>
        <v>4.4312376763822124E-2</v>
      </c>
      <c r="T10" s="145"/>
    </row>
    <row r="11" spans="1:20" ht="30" customHeight="1" x14ac:dyDescent="0.25">
      <c r="A11" s="144">
        <v>45810</v>
      </c>
      <c r="B11" s="128" t="s">
        <v>328</v>
      </c>
      <c r="C11" s="128" t="s">
        <v>328</v>
      </c>
      <c r="D11" s="177" t="s">
        <v>489</v>
      </c>
      <c r="E11" s="145"/>
      <c r="F11" s="149">
        <v>8</v>
      </c>
      <c r="G11" s="149">
        <f t="shared" si="0"/>
        <v>112</v>
      </c>
      <c r="H11" s="160">
        <v>1.15E-3</v>
      </c>
      <c r="I11" s="160">
        <f t="shared" si="2"/>
        <v>9.1999999999999998E-3</v>
      </c>
      <c r="N11" s="147"/>
      <c r="P11" s="148">
        <v>8</v>
      </c>
      <c r="Q11" s="148">
        <v>8</v>
      </c>
      <c r="R11" s="150">
        <f t="shared" si="1"/>
        <v>5.6194034565427257E-2</v>
      </c>
      <c r="S11" s="150">
        <f>'No1'!H15</f>
        <v>5.6194034565427257E-2</v>
      </c>
      <c r="T11" s="145"/>
    </row>
    <row r="12" spans="1:20" ht="30" customHeight="1" x14ac:dyDescent="0.25">
      <c r="A12" s="144">
        <v>45811</v>
      </c>
      <c r="B12" s="128" t="s">
        <v>479</v>
      </c>
      <c r="C12" s="128" t="s">
        <v>479</v>
      </c>
      <c r="D12" s="145" t="s">
        <v>501</v>
      </c>
      <c r="E12" s="145"/>
      <c r="F12" s="149">
        <v>9</v>
      </c>
      <c r="G12" s="149">
        <f t="shared" si="0"/>
        <v>111</v>
      </c>
      <c r="H12" s="160">
        <v>1.15E-3</v>
      </c>
      <c r="I12" s="160">
        <f t="shared" si="2"/>
        <v>1.035E-2</v>
      </c>
      <c r="N12" s="147"/>
      <c r="P12" s="148">
        <v>9</v>
      </c>
      <c r="Q12" s="148">
        <v>9</v>
      </c>
      <c r="R12" s="150">
        <f t="shared" si="1"/>
        <v>5.6194034565427257E-2</v>
      </c>
      <c r="S12" s="150">
        <f>'No1'!H16</f>
        <v>5.6194034565427257E-2</v>
      </c>
      <c r="T12" s="145"/>
    </row>
    <row r="13" spans="1:20" ht="30" customHeight="1" x14ac:dyDescent="0.25">
      <c r="A13" s="144">
        <v>45812</v>
      </c>
      <c r="B13" s="128" t="s">
        <v>480</v>
      </c>
      <c r="C13" s="128" t="s">
        <v>480</v>
      </c>
      <c r="D13" s="145" t="s">
        <v>490</v>
      </c>
      <c r="E13" s="145"/>
      <c r="F13" s="149">
        <v>10</v>
      </c>
      <c r="G13" s="149">
        <f t="shared" si="0"/>
        <v>110</v>
      </c>
      <c r="H13" s="160">
        <v>1.15E-3</v>
      </c>
      <c r="I13" s="160">
        <f t="shared" si="2"/>
        <v>1.15E-2</v>
      </c>
      <c r="N13" s="147"/>
      <c r="P13" s="148">
        <v>10</v>
      </c>
      <c r="Q13" s="148">
        <v>10</v>
      </c>
      <c r="R13" s="150">
        <f t="shared" si="1"/>
        <v>7.7940128415006804E-2</v>
      </c>
      <c r="S13" s="150">
        <f>'No1'!H17</f>
        <v>7.7940128415006804E-2</v>
      </c>
      <c r="T13" s="145"/>
    </row>
    <row r="14" spans="1:20" ht="30" customHeight="1" x14ac:dyDescent="0.25">
      <c r="A14" s="144">
        <v>45813</v>
      </c>
      <c r="B14" s="128" t="s">
        <v>328</v>
      </c>
      <c r="C14" s="128" t="s">
        <v>328</v>
      </c>
      <c r="D14" s="177" t="s">
        <v>492</v>
      </c>
      <c r="E14" s="145"/>
      <c r="F14" s="149">
        <v>11</v>
      </c>
      <c r="G14" s="149">
        <f t="shared" si="0"/>
        <v>109</v>
      </c>
      <c r="H14" s="160">
        <v>2.3999999999999998E-3</v>
      </c>
      <c r="I14" s="160">
        <f t="shared" si="2"/>
        <v>1.3899999999999999E-2</v>
      </c>
      <c r="N14" s="147"/>
      <c r="P14" s="148">
        <v>11</v>
      </c>
      <c r="Q14" s="148">
        <v>11</v>
      </c>
      <c r="R14" s="150">
        <f t="shared" si="1"/>
        <v>9.6427633277952104E-2</v>
      </c>
      <c r="S14" s="150">
        <f>'No1'!H18</f>
        <v>9.6427633277952104E-2</v>
      </c>
      <c r="T14" s="145"/>
    </row>
    <row r="15" spans="1:20" ht="30" customHeight="1" x14ac:dyDescent="0.25">
      <c r="A15" s="144">
        <v>45814</v>
      </c>
      <c r="B15" s="128" t="s">
        <v>328</v>
      </c>
      <c r="C15" s="128" t="s">
        <v>328</v>
      </c>
      <c r="D15" s="177" t="s">
        <v>496</v>
      </c>
      <c r="E15" s="145"/>
      <c r="F15" s="149">
        <v>12</v>
      </c>
      <c r="G15" s="149">
        <f t="shared" si="0"/>
        <v>108</v>
      </c>
      <c r="H15" s="160">
        <v>2.3999999999999998E-3</v>
      </c>
      <c r="I15" s="160">
        <f t="shared" si="2"/>
        <v>1.6299999999999999E-2</v>
      </c>
      <c r="N15" s="147"/>
      <c r="P15" s="148">
        <v>12</v>
      </c>
      <c r="Q15" s="148">
        <v>12</v>
      </c>
      <c r="R15" s="150">
        <f t="shared" si="1"/>
        <v>0.10946198922448908</v>
      </c>
      <c r="S15" s="150">
        <f>'No1'!H19</f>
        <v>0.10946198922448908</v>
      </c>
      <c r="T15" s="145"/>
    </row>
    <row r="16" spans="1:20" ht="30" customHeight="1" x14ac:dyDescent="0.25">
      <c r="A16" s="144">
        <v>45815</v>
      </c>
      <c r="B16" s="128" t="s">
        <v>328</v>
      </c>
      <c r="C16" s="128" t="s">
        <v>328</v>
      </c>
      <c r="D16" s="177" t="s">
        <v>495</v>
      </c>
      <c r="E16" s="145"/>
      <c r="F16" s="149">
        <v>13</v>
      </c>
      <c r="G16" s="149">
        <f t="shared" si="0"/>
        <v>107</v>
      </c>
      <c r="H16" s="160">
        <v>2.3999999999999998E-3</v>
      </c>
      <c r="I16" s="160">
        <f t="shared" si="2"/>
        <v>1.8699999999999998E-2</v>
      </c>
      <c r="N16" s="147"/>
      <c r="P16" s="148">
        <v>13</v>
      </c>
      <c r="Q16" s="148">
        <v>13</v>
      </c>
      <c r="R16" s="150">
        <f t="shared" si="1"/>
        <v>0.11850623620780044</v>
      </c>
      <c r="S16" s="150">
        <f>'No1'!H20</f>
        <v>0.11850623620780044</v>
      </c>
      <c r="T16" s="145"/>
    </row>
    <row r="17" spans="1:20" ht="30" customHeight="1" x14ac:dyDescent="0.25">
      <c r="A17" s="144">
        <v>45816</v>
      </c>
      <c r="B17" s="128" t="s">
        <v>328</v>
      </c>
      <c r="C17" s="128" t="s">
        <v>328</v>
      </c>
      <c r="D17" s="145" t="s">
        <v>491</v>
      </c>
      <c r="E17" s="145"/>
      <c r="F17" s="149">
        <v>14</v>
      </c>
      <c r="G17" s="149">
        <f t="shared" si="0"/>
        <v>106</v>
      </c>
      <c r="H17" s="160">
        <v>2.3999999999999998E-3</v>
      </c>
      <c r="I17" s="160">
        <f t="shared" si="2"/>
        <v>2.1099999999999997E-2</v>
      </c>
      <c r="N17" s="147"/>
      <c r="P17" s="148">
        <v>14</v>
      </c>
      <c r="Q17" s="148">
        <v>14</v>
      </c>
      <c r="R17" s="150">
        <f t="shared" si="1"/>
        <v>0.12249634517102605</v>
      </c>
      <c r="S17" s="150">
        <f>'No1'!H21</f>
        <v>0.12249634517102605</v>
      </c>
      <c r="T17" s="145"/>
    </row>
    <row r="18" spans="1:20" ht="30" customHeight="1" x14ac:dyDescent="0.25">
      <c r="A18" s="144">
        <v>45817</v>
      </c>
      <c r="B18" s="128" t="s">
        <v>328</v>
      </c>
      <c r="C18" s="128" t="s">
        <v>328</v>
      </c>
      <c r="D18" s="145" t="s">
        <v>493</v>
      </c>
      <c r="E18" s="145"/>
      <c r="F18" s="149">
        <v>15</v>
      </c>
      <c r="G18" s="149">
        <f t="shared" si="0"/>
        <v>105</v>
      </c>
      <c r="H18" s="160">
        <v>2.3999999999999998E-3</v>
      </c>
      <c r="I18" s="160">
        <f t="shared" si="2"/>
        <v>2.3499999999999997E-2</v>
      </c>
      <c r="N18" s="147"/>
      <c r="P18" s="148">
        <v>15</v>
      </c>
      <c r="Q18" s="148">
        <v>15</v>
      </c>
      <c r="R18" s="150">
        <f t="shared" si="1"/>
        <v>0.14593823532997646</v>
      </c>
      <c r="S18" s="150">
        <f>'No1'!H22</f>
        <v>0.14593823532997646</v>
      </c>
      <c r="T18" s="145"/>
    </row>
    <row r="19" spans="1:20" ht="30" customHeight="1" x14ac:dyDescent="0.25">
      <c r="A19" s="144">
        <v>45818</v>
      </c>
      <c r="B19" s="128" t="s">
        <v>328</v>
      </c>
      <c r="C19" s="128" t="s">
        <v>328</v>
      </c>
      <c r="D19" s="145" t="s">
        <v>476</v>
      </c>
      <c r="E19" s="145"/>
      <c r="F19" s="149">
        <v>16</v>
      </c>
      <c r="G19" s="149">
        <f t="shared" si="0"/>
        <v>104</v>
      </c>
      <c r="H19" s="160">
        <v>2.3999999999999998E-3</v>
      </c>
      <c r="I19" s="160">
        <f t="shared" si="2"/>
        <v>2.5899999999999996E-2</v>
      </c>
      <c r="K19" s="8">
        <f>I19</f>
        <v>2.5899999999999996E-2</v>
      </c>
      <c r="N19" s="147"/>
      <c r="P19" s="148">
        <v>16</v>
      </c>
      <c r="Q19" s="148">
        <v>16</v>
      </c>
      <c r="R19" s="150">
        <f t="shared" si="1"/>
        <v>0.14593823532997646</v>
      </c>
      <c r="S19" s="150">
        <f>'No1'!H23</f>
        <v>0.14593823532997646</v>
      </c>
      <c r="T19" s="145"/>
    </row>
    <row r="20" spans="1:20" ht="30" customHeight="1" x14ac:dyDescent="0.25">
      <c r="A20" s="144">
        <v>45819</v>
      </c>
      <c r="B20" s="128" t="s">
        <v>328</v>
      </c>
      <c r="C20" s="128" t="s">
        <v>328</v>
      </c>
      <c r="D20" s="177" t="s">
        <v>494</v>
      </c>
      <c r="E20" s="145"/>
      <c r="F20" s="149">
        <v>17</v>
      </c>
      <c r="G20" s="149">
        <f t="shared" si="0"/>
        <v>103</v>
      </c>
      <c r="H20" s="160">
        <v>2.3999999999999998E-3</v>
      </c>
      <c r="I20" s="160">
        <f t="shared" si="2"/>
        <v>2.8299999999999995E-2</v>
      </c>
      <c r="N20" s="147"/>
      <c r="P20" s="148">
        <v>17</v>
      </c>
      <c r="Q20" s="148">
        <v>17</v>
      </c>
      <c r="R20" s="150">
        <f t="shared" si="1"/>
        <v>0.16588878014610448</v>
      </c>
      <c r="S20" s="150">
        <f>'No1'!H24</f>
        <v>0.16588878014610448</v>
      </c>
      <c r="T20" s="145"/>
    </row>
    <row r="21" spans="1:20" ht="30" customHeight="1" x14ac:dyDescent="0.25">
      <c r="A21" s="144">
        <v>45820</v>
      </c>
      <c r="B21" s="128" t="s">
        <v>328</v>
      </c>
      <c r="C21" s="128" t="s">
        <v>328</v>
      </c>
      <c r="D21" s="145" t="s">
        <v>503</v>
      </c>
      <c r="E21" s="145"/>
      <c r="F21" s="149">
        <v>18</v>
      </c>
      <c r="G21" s="149">
        <f t="shared" si="0"/>
        <v>102</v>
      </c>
      <c r="H21" s="160">
        <v>2.3999999999999998E-3</v>
      </c>
      <c r="I21" s="160">
        <f t="shared" si="2"/>
        <v>3.0699999999999995E-2</v>
      </c>
      <c r="N21" s="147"/>
      <c r="P21" s="148">
        <v>18</v>
      </c>
      <c r="Q21" s="148">
        <v>18</v>
      </c>
      <c r="R21" s="150">
        <f t="shared" si="1"/>
        <v>0.18583932496223249</v>
      </c>
      <c r="S21" s="150">
        <f>'No1'!H25</f>
        <v>0.18583932496223249</v>
      </c>
      <c r="T21" s="145"/>
    </row>
    <row r="22" spans="1:20" ht="30" customHeight="1" x14ac:dyDescent="0.25">
      <c r="A22" s="144">
        <v>45821</v>
      </c>
      <c r="B22" s="128" t="s">
        <v>499</v>
      </c>
      <c r="C22" s="128" t="s">
        <v>499</v>
      </c>
      <c r="D22" s="177" t="s">
        <v>504</v>
      </c>
      <c r="E22" s="145"/>
      <c r="F22" s="149">
        <v>19</v>
      </c>
      <c r="G22" s="149">
        <f t="shared" si="0"/>
        <v>101</v>
      </c>
      <c r="H22" s="160">
        <v>2.3999999999999998E-3</v>
      </c>
      <c r="I22" s="160">
        <f t="shared" si="2"/>
        <v>3.3099999999999997E-2</v>
      </c>
      <c r="N22" s="147"/>
      <c r="P22" s="148">
        <v>19</v>
      </c>
      <c r="Q22" s="148">
        <v>19</v>
      </c>
      <c r="R22" s="150">
        <f t="shared" si="1"/>
        <v>0.22923175993731093</v>
      </c>
      <c r="S22" s="150">
        <f>'No1'!H26</f>
        <v>0.22923175993731093</v>
      </c>
      <c r="T22" s="145"/>
    </row>
    <row r="23" spans="1:20" ht="30" customHeight="1" x14ac:dyDescent="0.25">
      <c r="A23" s="144">
        <v>45822</v>
      </c>
      <c r="B23" s="128" t="s">
        <v>328</v>
      </c>
      <c r="C23" s="128" t="s">
        <v>328</v>
      </c>
      <c r="D23" s="177" t="s">
        <v>504</v>
      </c>
      <c r="E23" s="145"/>
      <c r="F23" s="149">
        <v>20</v>
      </c>
      <c r="G23" s="149">
        <f t="shared" si="0"/>
        <v>100</v>
      </c>
      <c r="H23" s="160">
        <v>2.3999999999999998E-3</v>
      </c>
      <c r="I23" s="160">
        <f t="shared" si="2"/>
        <v>3.5499999999999997E-2</v>
      </c>
      <c r="N23" s="147"/>
      <c r="P23" s="148">
        <v>20</v>
      </c>
      <c r="Q23" s="148">
        <v>20</v>
      </c>
      <c r="R23" s="150">
        <f t="shared" si="1"/>
        <v>0.27262419491238937</v>
      </c>
      <c r="S23" s="150">
        <f>'No1'!H27</f>
        <v>0.27262419491238937</v>
      </c>
      <c r="T23" s="145"/>
    </row>
    <row r="24" spans="1:20" ht="30" customHeight="1" x14ac:dyDescent="0.25">
      <c r="A24" s="144">
        <v>45823</v>
      </c>
      <c r="B24" s="128" t="s">
        <v>328</v>
      </c>
      <c r="C24" s="128" t="s">
        <v>328</v>
      </c>
      <c r="D24" s="177" t="s">
        <v>504</v>
      </c>
      <c r="E24" s="145"/>
      <c r="F24" s="149">
        <v>21</v>
      </c>
      <c r="G24" s="149">
        <f t="shared" si="0"/>
        <v>99</v>
      </c>
      <c r="H24" s="160">
        <v>2.5500000000000002E-3</v>
      </c>
      <c r="I24" s="160">
        <f t="shared" si="2"/>
        <v>3.805E-2</v>
      </c>
      <c r="J24" s="8">
        <f>I24</f>
        <v>3.805E-2</v>
      </c>
      <c r="N24" s="147"/>
      <c r="P24" s="148">
        <v>21</v>
      </c>
      <c r="Q24" s="148">
        <v>21</v>
      </c>
      <c r="R24" s="150">
        <f t="shared" si="1"/>
        <v>0.31601662988746781</v>
      </c>
      <c r="S24" s="150">
        <f>'No1'!H28</f>
        <v>0.31601662988746781</v>
      </c>
      <c r="T24" s="145"/>
    </row>
    <row r="25" spans="1:20" ht="30" customHeight="1" x14ac:dyDescent="0.25">
      <c r="A25" s="144">
        <v>45824</v>
      </c>
      <c r="B25" s="128" t="s">
        <v>328</v>
      </c>
      <c r="C25" s="128" t="s">
        <v>328</v>
      </c>
      <c r="D25" s="145" t="s">
        <v>505</v>
      </c>
      <c r="E25" s="145"/>
      <c r="F25" s="149">
        <v>22</v>
      </c>
      <c r="G25" s="149">
        <f t="shared" si="0"/>
        <v>98</v>
      </c>
      <c r="H25" s="160">
        <v>2.5500000000000002E-3</v>
      </c>
      <c r="I25" s="160">
        <f t="shared" si="2"/>
        <v>4.0599999999999997E-2</v>
      </c>
      <c r="N25" s="147"/>
      <c r="P25" s="148">
        <v>22</v>
      </c>
      <c r="Q25" s="148">
        <v>22</v>
      </c>
      <c r="R25" s="150">
        <f t="shared" si="1"/>
        <v>0.33945852004641824</v>
      </c>
      <c r="S25" s="150">
        <f>'No1'!H29</f>
        <v>0.33945852004641824</v>
      </c>
      <c r="T25" s="145"/>
    </row>
    <row r="26" spans="1:20" ht="30" customHeight="1" x14ac:dyDescent="0.25">
      <c r="A26" s="144">
        <v>45825</v>
      </c>
      <c r="B26" s="128" t="s">
        <v>328</v>
      </c>
      <c r="C26" s="128" t="s">
        <v>328</v>
      </c>
      <c r="D26" s="145" t="s">
        <v>502</v>
      </c>
      <c r="E26" s="145"/>
      <c r="F26" s="149">
        <v>23</v>
      </c>
      <c r="G26" s="149">
        <f t="shared" si="0"/>
        <v>97</v>
      </c>
      <c r="H26" s="160">
        <v>2.5500000000000002E-3</v>
      </c>
      <c r="I26" s="160">
        <f t="shared" si="2"/>
        <v>4.3149999999999994E-2</v>
      </c>
      <c r="N26" s="147"/>
      <c r="P26" s="148">
        <v>23</v>
      </c>
      <c r="Q26" s="148">
        <v>23</v>
      </c>
      <c r="R26" s="150">
        <f t="shared" si="1"/>
        <v>0.33945852004641824</v>
      </c>
      <c r="S26" s="150">
        <f>'No1'!H30</f>
        <v>0.33945852004641824</v>
      </c>
      <c r="T26" s="145"/>
    </row>
    <row r="27" spans="1:20" ht="30" customHeight="1" x14ac:dyDescent="0.25">
      <c r="A27" s="144">
        <v>45826</v>
      </c>
      <c r="B27" s="128" t="s">
        <v>328</v>
      </c>
      <c r="C27" s="128" t="s">
        <v>328</v>
      </c>
      <c r="D27" s="145" t="s">
        <v>502</v>
      </c>
      <c r="E27" s="145"/>
      <c r="F27" s="149">
        <v>24</v>
      </c>
      <c r="G27" s="149">
        <f t="shared" si="0"/>
        <v>96</v>
      </c>
      <c r="H27" s="160">
        <v>2.5500000000000002E-3</v>
      </c>
      <c r="I27" s="160">
        <f t="shared" si="2"/>
        <v>4.5699999999999991E-2</v>
      </c>
      <c r="N27" s="147"/>
      <c r="P27" s="148">
        <v>24</v>
      </c>
      <c r="Q27" s="148">
        <v>24</v>
      </c>
      <c r="R27" s="150">
        <f t="shared" si="1"/>
        <v>0.33945852004641824</v>
      </c>
      <c r="S27" s="150">
        <f>'No1'!H31</f>
        <v>0.33945852004641824</v>
      </c>
      <c r="T27" s="145"/>
    </row>
    <row r="28" spans="1:20" ht="30" customHeight="1" x14ac:dyDescent="0.25">
      <c r="A28" s="144">
        <v>45827</v>
      </c>
      <c r="B28" s="128" t="s">
        <v>328</v>
      </c>
      <c r="C28" s="128" t="s">
        <v>328</v>
      </c>
      <c r="D28" s="177" t="s">
        <v>506</v>
      </c>
      <c r="E28" s="145"/>
      <c r="F28" s="149">
        <v>25</v>
      </c>
      <c r="G28" s="149">
        <f t="shared" si="0"/>
        <v>95</v>
      </c>
      <c r="H28" s="160">
        <v>2.5500000000000002E-3</v>
      </c>
      <c r="I28" s="160">
        <f t="shared" si="2"/>
        <v>4.8249999999999987E-2</v>
      </c>
      <c r="N28" s="147"/>
      <c r="P28" s="148">
        <v>25</v>
      </c>
      <c r="Q28" s="148">
        <v>25</v>
      </c>
      <c r="R28" s="150">
        <f t="shared" si="1"/>
        <v>0.36689051916859428</v>
      </c>
      <c r="S28" s="150">
        <f>'No1'!H32</f>
        <v>0.36689051916859428</v>
      </c>
      <c r="T28" s="145"/>
    </row>
    <row r="29" spans="1:20" ht="30" customHeight="1" x14ac:dyDescent="0.25">
      <c r="A29" s="144">
        <v>45828</v>
      </c>
      <c r="B29" s="128" t="s">
        <v>328</v>
      </c>
      <c r="C29" s="128" t="s">
        <v>328</v>
      </c>
      <c r="D29" s="145" t="s">
        <v>502</v>
      </c>
      <c r="E29" s="145"/>
      <c r="F29" s="149">
        <v>26</v>
      </c>
      <c r="G29" s="149">
        <f t="shared" si="0"/>
        <v>94</v>
      </c>
      <c r="H29" s="160">
        <v>2.5500000000000002E-3</v>
      </c>
      <c r="I29" s="160">
        <f t="shared" si="2"/>
        <v>5.0799999999999984E-2</v>
      </c>
      <c r="N29" s="147"/>
      <c r="P29" s="148">
        <v>26</v>
      </c>
      <c r="Q29" s="148">
        <v>26</v>
      </c>
      <c r="R29" s="150">
        <f t="shared" si="1"/>
        <v>0.36689051916859428</v>
      </c>
      <c r="S29" s="150">
        <f>'No1'!H33</f>
        <v>0.36689051916859428</v>
      </c>
      <c r="T29" s="145"/>
    </row>
    <row r="30" spans="1:20" ht="30" customHeight="1" x14ac:dyDescent="0.25">
      <c r="A30" s="144">
        <v>45829</v>
      </c>
      <c r="B30" s="128" t="s">
        <v>328</v>
      </c>
      <c r="C30" s="128" t="s">
        <v>328</v>
      </c>
      <c r="D30" s="145" t="s">
        <v>502</v>
      </c>
      <c r="E30" s="145"/>
      <c r="F30" s="149">
        <v>27</v>
      </c>
      <c r="G30" s="149">
        <f t="shared" si="0"/>
        <v>93</v>
      </c>
      <c r="H30" s="160">
        <v>2.5500000000000002E-3</v>
      </c>
      <c r="I30" s="160">
        <f t="shared" si="2"/>
        <v>5.3349999999999981E-2</v>
      </c>
      <c r="N30" s="147"/>
      <c r="P30" s="148">
        <v>27</v>
      </c>
      <c r="Q30" s="148">
        <v>27</v>
      </c>
      <c r="R30" s="150">
        <f t="shared" si="1"/>
        <v>0.36689051916859428</v>
      </c>
      <c r="S30" s="150">
        <f>'No1'!H34</f>
        <v>0.36689051916859428</v>
      </c>
      <c r="T30" s="145"/>
    </row>
    <row r="31" spans="1:20" ht="30" customHeight="1" x14ac:dyDescent="0.25">
      <c r="A31" s="144">
        <v>45830</v>
      </c>
      <c r="B31" s="128" t="s">
        <v>328</v>
      </c>
      <c r="C31" s="128" t="s">
        <v>328</v>
      </c>
      <c r="D31" s="145" t="s">
        <v>502</v>
      </c>
      <c r="E31" s="145"/>
      <c r="F31" s="149">
        <v>28</v>
      </c>
      <c r="G31" s="149">
        <f t="shared" si="0"/>
        <v>92</v>
      </c>
      <c r="H31" s="160">
        <v>2.5500000000000002E-3</v>
      </c>
      <c r="I31" s="160">
        <f t="shared" si="2"/>
        <v>5.5899999999999977E-2</v>
      </c>
      <c r="N31" s="147"/>
      <c r="P31" s="148">
        <v>28</v>
      </c>
      <c r="Q31" s="148">
        <v>28</v>
      </c>
      <c r="R31" s="150">
        <f t="shared" si="1"/>
        <v>0.36689051916859428</v>
      </c>
      <c r="S31" s="150">
        <f>'No1'!H35</f>
        <v>0.36689051916859428</v>
      </c>
      <c r="T31" s="145"/>
    </row>
    <row r="32" spans="1:20" ht="30" customHeight="1" x14ac:dyDescent="0.25">
      <c r="A32" s="144">
        <v>45831</v>
      </c>
      <c r="B32" s="128" t="s">
        <v>328</v>
      </c>
      <c r="C32" s="128" t="s">
        <v>328</v>
      </c>
      <c r="D32" s="177" t="s">
        <v>504</v>
      </c>
      <c r="E32" s="145"/>
      <c r="F32" s="149">
        <v>29</v>
      </c>
      <c r="G32" s="149">
        <f t="shared" si="0"/>
        <v>91</v>
      </c>
      <c r="H32" s="160">
        <v>2.5500000000000002E-3</v>
      </c>
      <c r="I32" s="160">
        <f t="shared" si="2"/>
        <v>5.8449999999999974E-2</v>
      </c>
      <c r="N32" s="147"/>
      <c r="P32" s="148">
        <v>29</v>
      </c>
      <c r="Q32" s="148">
        <v>29</v>
      </c>
      <c r="R32" s="150">
        <f t="shared" si="1"/>
        <v>0.41028295414367272</v>
      </c>
      <c r="S32" s="150">
        <f>'No1'!H36</f>
        <v>0.41028295414367272</v>
      </c>
      <c r="T32" s="145"/>
    </row>
    <row r="33" spans="1:20" ht="30" customHeight="1" x14ac:dyDescent="0.25">
      <c r="A33" s="144">
        <v>45832</v>
      </c>
      <c r="B33" s="128" t="s">
        <v>328</v>
      </c>
      <c r="C33" s="128" t="s">
        <v>328</v>
      </c>
      <c r="D33" s="177" t="s">
        <v>507</v>
      </c>
      <c r="E33" s="145"/>
      <c r="F33" s="149">
        <v>30</v>
      </c>
      <c r="G33" s="149">
        <f t="shared" si="0"/>
        <v>90</v>
      </c>
      <c r="H33" s="160">
        <v>2.5500000000000002E-3</v>
      </c>
      <c r="I33" s="160">
        <f t="shared" si="2"/>
        <v>6.0999999999999971E-2</v>
      </c>
      <c r="N33" s="147"/>
      <c r="P33" s="148">
        <v>30</v>
      </c>
      <c r="Q33" s="148">
        <v>30</v>
      </c>
      <c r="R33" s="150">
        <f t="shared" si="1"/>
        <v>0.46647698870909998</v>
      </c>
      <c r="S33" s="150">
        <f>'No1'!H37</f>
        <v>0.46647698870909998</v>
      </c>
      <c r="T33" s="145"/>
    </row>
    <row r="34" spans="1:20" ht="30" customHeight="1" x14ac:dyDescent="0.25">
      <c r="A34" s="144">
        <v>45833</v>
      </c>
      <c r="B34" s="128" t="s">
        <v>328</v>
      </c>
      <c r="C34" s="128" t="s">
        <v>328</v>
      </c>
      <c r="D34" s="145" t="s">
        <v>502</v>
      </c>
      <c r="E34" s="145"/>
      <c r="F34" s="149">
        <v>31</v>
      </c>
      <c r="G34" s="149">
        <f t="shared" si="0"/>
        <v>89</v>
      </c>
      <c r="H34" s="160">
        <v>4.4900000000000001E-3</v>
      </c>
      <c r="I34" s="160">
        <f t="shared" si="2"/>
        <v>6.5489999999999965E-2</v>
      </c>
      <c r="K34" s="8">
        <f>I34</f>
        <v>6.5489999999999965E-2</v>
      </c>
      <c r="N34" s="147"/>
      <c r="P34" s="148">
        <v>31</v>
      </c>
      <c r="Q34" s="148">
        <v>31</v>
      </c>
      <c r="R34" s="150">
        <f t="shared" si="1"/>
        <v>0.46647698870909998</v>
      </c>
      <c r="S34" s="150">
        <f>'No1'!H38</f>
        <v>0.46647698870909998</v>
      </c>
      <c r="T34" s="145"/>
    </row>
    <row r="35" spans="1:20" ht="30" customHeight="1" x14ac:dyDescent="0.25">
      <c r="A35" s="144">
        <v>45834</v>
      </c>
      <c r="B35" s="128" t="s">
        <v>328</v>
      </c>
      <c r="C35" s="128" t="s">
        <v>328</v>
      </c>
      <c r="D35" s="145" t="s">
        <v>502</v>
      </c>
      <c r="E35" s="145"/>
      <c r="F35" s="149">
        <v>32</v>
      </c>
      <c r="G35" s="149">
        <f t="shared" si="0"/>
        <v>88</v>
      </c>
      <c r="H35" s="160">
        <v>4.4900000000000001E-3</v>
      </c>
      <c r="I35" s="160">
        <f t="shared" si="2"/>
        <v>6.9979999999999959E-2</v>
      </c>
      <c r="N35" s="147"/>
      <c r="P35" s="148">
        <v>32</v>
      </c>
      <c r="Q35" s="148">
        <v>32</v>
      </c>
      <c r="R35" s="150">
        <f t="shared" si="1"/>
        <v>0.46647698870909998</v>
      </c>
      <c r="S35" s="150">
        <f>'No1'!H39</f>
        <v>0.46647698870909998</v>
      </c>
      <c r="T35" s="145"/>
    </row>
    <row r="36" spans="1:20" ht="30" customHeight="1" x14ac:dyDescent="0.25">
      <c r="A36" s="144">
        <v>45835</v>
      </c>
      <c r="B36" s="128" t="s">
        <v>328</v>
      </c>
      <c r="C36" s="128" t="s">
        <v>328</v>
      </c>
      <c r="D36" s="177" t="s">
        <v>508</v>
      </c>
      <c r="E36" s="145"/>
      <c r="F36" s="149">
        <v>33</v>
      </c>
      <c r="G36" s="149">
        <f t="shared" si="0"/>
        <v>87</v>
      </c>
      <c r="H36" s="160">
        <v>4.4900000000000001E-3</v>
      </c>
      <c r="I36" s="160">
        <f t="shared" si="2"/>
        <v>7.4469999999999953E-2</v>
      </c>
      <c r="N36" s="147"/>
      <c r="P36" s="148">
        <v>33</v>
      </c>
      <c r="Q36" s="148">
        <v>33</v>
      </c>
      <c r="R36" s="150">
        <f t="shared" si="1"/>
        <v>0.46647698870909998</v>
      </c>
      <c r="S36" s="150">
        <f>'No1'!H40</f>
        <v>0.46647698870909998</v>
      </c>
      <c r="T36" s="145"/>
    </row>
    <row r="37" spans="1:20" ht="30" customHeight="1" x14ac:dyDescent="0.25">
      <c r="A37" s="144">
        <v>45836</v>
      </c>
      <c r="B37" s="128" t="s">
        <v>328</v>
      </c>
      <c r="C37" s="128" t="s">
        <v>328</v>
      </c>
      <c r="D37" s="145" t="s">
        <v>500</v>
      </c>
      <c r="E37" s="145"/>
      <c r="F37" s="149">
        <v>34</v>
      </c>
      <c r="G37" s="149">
        <f t="shared" si="0"/>
        <v>86</v>
      </c>
      <c r="H37" s="160">
        <v>4.4900000000000001E-3</v>
      </c>
      <c r="I37" s="160">
        <f t="shared" si="2"/>
        <v>7.8959999999999947E-2</v>
      </c>
      <c r="N37" s="147"/>
      <c r="P37" s="148">
        <v>34</v>
      </c>
      <c r="Q37" s="148">
        <v>34</v>
      </c>
      <c r="R37" s="150">
        <f t="shared" si="1"/>
        <v>0.46647698870909998</v>
      </c>
      <c r="S37" s="150">
        <f>'No1'!H41</f>
        <v>0.46647698870909998</v>
      </c>
      <c r="T37" s="145"/>
    </row>
    <row r="38" spans="1:20" ht="30" customHeight="1" x14ac:dyDescent="0.25">
      <c r="A38" s="144">
        <v>45837</v>
      </c>
      <c r="B38" s="128" t="s">
        <v>328</v>
      </c>
      <c r="C38" s="128" t="s">
        <v>328</v>
      </c>
      <c r="D38" s="145" t="s">
        <v>500</v>
      </c>
      <c r="E38" s="145"/>
      <c r="F38" s="149">
        <v>35</v>
      </c>
      <c r="G38" s="149">
        <f t="shared" si="0"/>
        <v>85</v>
      </c>
      <c r="H38" s="160">
        <v>4.4900000000000001E-3</v>
      </c>
      <c r="I38" s="160">
        <f t="shared" si="2"/>
        <v>8.3449999999999941E-2</v>
      </c>
      <c r="N38" s="147"/>
      <c r="P38" s="148">
        <v>35</v>
      </c>
      <c r="Q38" s="148">
        <v>35</v>
      </c>
      <c r="R38" s="150">
        <f t="shared" si="1"/>
        <v>0.46647698870909998</v>
      </c>
      <c r="S38" s="150">
        <f>'No1'!H42</f>
        <v>0.46647698870909998</v>
      </c>
      <c r="T38" s="145"/>
    </row>
    <row r="39" spans="1:20" ht="30" customHeight="1" x14ac:dyDescent="0.25">
      <c r="A39" s="144">
        <v>45838</v>
      </c>
      <c r="B39" s="128" t="s">
        <v>328</v>
      </c>
      <c r="C39" s="128" t="s">
        <v>328</v>
      </c>
      <c r="D39" s="145" t="s">
        <v>500</v>
      </c>
      <c r="E39" s="145"/>
      <c r="F39" s="149">
        <v>36</v>
      </c>
      <c r="G39" s="149">
        <f t="shared" si="0"/>
        <v>84</v>
      </c>
      <c r="H39" s="160">
        <v>4.4900000000000001E-3</v>
      </c>
      <c r="I39" s="160">
        <f t="shared" si="2"/>
        <v>8.7939999999999935E-2</v>
      </c>
      <c r="J39" s="8">
        <f>I39</f>
        <v>8.7939999999999935E-2</v>
      </c>
      <c r="N39" s="147"/>
      <c r="P39" s="148">
        <v>36</v>
      </c>
      <c r="Q39" s="148">
        <v>36</v>
      </c>
      <c r="R39" s="150">
        <f t="shared" si="1"/>
        <v>0.46647698870909998</v>
      </c>
      <c r="S39" s="150">
        <f>'No1'!H43</f>
        <v>0.46647698870909998</v>
      </c>
      <c r="T39" s="145"/>
    </row>
    <row r="40" spans="1:20" ht="30" customHeight="1" x14ac:dyDescent="0.25">
      <c r="A40" s="144">
        <v>45839</v>
      </c>
      <c r="B40" s="128"/>
      <c r="C40" s="128"/>
      <c r="D40" s="145"/>
      <c r="E40" s="145"/>
      <c r="F40" s="149">
        <v>37</v>
      </c>
      <c r="G40" s="149">
        <f t="shared" si="0"/>
        <v>83</v>
      </c>
      <c r="H40" s="160">
        <v>4.4900000000000001E-3</v>
      </c>
      <c r="I40" s="160">
        <f t="shared" si="2"/>
        <v>9.2429999999999929E-2</v>
      </c>
      <c r="N40" s="147"/>
      <c r="P40" s="148">
        <v>37</v>
      </c>
      <c r="Q40" s="148">
        <v>37</v>
      </c>
      <c r="R40" s="150">
        <f t="shared" si="1"/>
        <v>0.46647698870909998</v>
      </c>
      <c r="S40" s="150">
        <f>'No1'!H44</f>
        <v>0.46647698870909998</v>
      </c>
      <c r="T40" s="145"/>
    </row>
    <row r="41" spans="1:20" ht="30" customHeight="1" x14ac:dyDescent="0.25">
      <c r="A41" s="144">
        <v>45840</v>
      </c>
      <c r="B41" s="128"/>
      <c r="C41" s="128"/>
      <c r="D41" s="145"/>
      <c r="E41" s="145"/>
      <c r="F41" s="149">
        <v>38</v>
      </c>
      <c r="G41" s="149">
        <f t="shared" si="0"/>
        <v>82</v>
      </c>
      <c r="H41" s="160">
        <v>4.4900000000000001E-3</v>
      </c>
      <c r="I41" s="160">
        <f t="shared" si="2"/>
        <v>9.6919999999999923E-2</v>
      </c>
      <c r="N41" s="147"/>
      <c r="P41" s="148">
        <v>38</v>
      </c>
      <c r="Q41" s="148">
        <v>38</v>
      </c>
      <c r="R41" s="150">
        <f t="shared" si="1"/>
        <v>0.46647698870909998</v>
      </c>
      <c r="S41" s="150">
        <f>'No1'!H45</f>
        <v>0.46647698870909998</v>
      </c>
      <c r="T41" s="145"/>
    </row>
    <row r="42" spans="1:20" ht="30" customHeight="1" x14ac:dyDescent="0.25">
      <c r="A42" s="144">
        <v>45841</v>
      </c>
      <c r="B42" s="128"/>
      <c r="C42" s="128"/>
      <c r="D42" s="145"/>
      <c r="E42" s="145"/>
      <c r="F42" s="149">
        <v>39</v>
      </c>
      <c r="G42" s="149">
        <f t="shared" si="0"/>
        <v>81</v>
      </c>
      <c r="H42" s="160">
        <v>4.4900000000000001E-3</v>
      </c>
      <c r="I42" s="160">
        <f t="shared" si="2"/>
        <v>0.10140999999999992</v>
      </c>
      <c r="N42" s="147"/>
      <c r="P42" s="148">
        <v>39</v>
      </c>
      <c r="Q42" s="148">
        <v>39</v>
      </c>
      <c r="R42" s="150">
        <f t="shared" si="1"/>
        <v>0.46647698870909998</v>
      </c>
      <c r="S42" s="150">
        <f>'No1'!H46</f>
        <v>0.46647698870909998</v>
      </c>
      <c r="T42" s="145"/>
    </row>
    <row r="43" spans="1:20" ht="30" customHeight="1" x14ac:dyDescent="0.25">
      <c r="A43" s="144">
        <v>45842</v>
      </c>
      <c r="B43" s="128"/>
      <c r="C43" s="128"/>
      <c r="D43" s="145"/>
      <c r="E43" s="145"/>
      <c r="F43" s="149">
        <v>40</v>
      </c>
      <c r="G43" s="149">
        <f t="shared" si="0"/>
        <v>80</v>
      </c>
      <c r="H43" s="160">
        <v>4.4900000000000001E-3</v>
      </c>
      <c r="I43" s="160">
        <f t="shared" si="2"/>
        <v>0.10589999999999991</v>
      </c>
      <c r="N43" s="147"/>
      <c r="P43" s="148">
        <v>40</v>
      </c>
      <c r="Q43" s="148">
        <v>40</v>
      </c>
      <c r="R43" s="150">
        <f t="shared" si="1"/>
        <v>0.46647698870909998</v>
      </c>
      <c r="S43" s="150">
        <f>'No1'!H47</f>
        <v>0.46647698870909998</v>
      </c>
      <c r="T43" s="145"/>
    </row>
    <row r="44" spans="1:20" ht="30" customHeight="1" x14ac:dyDescent="0.25">
      <c r="A44" s="144">
        <v>45843</v>
      </c>
      <c r="B44" s="128"/>
      <c r="C44" s="128"/>
      <c r="D44" s="145"/>
      <c r="E44" s="145"/>
      <c r="F44" s="149">
        <v>41</v>
      </c>
      <c r="G44" s="149">
        <f t="shared" si="0"/>
        <v>79</v>
      </c>
      <c r="H44" s="160">
        <v>1.2109999999999999E-2</v>
      </c>
      <c r="I44" s="160">
        <f t="shared" si="2"/>
        <v>0.11800999999999991</v>
      </c>
      <c r="N44" s="147"/>
      <c r="P44" s="148">
        <v>41</v>
      </c>
      <c r="Q44" s="148">
        <v>41</v>
      </c>
      <c r="R44" s="150">
        <f t="shared" si="1"/>
        <v>0.46647698870909998</v>
      </c>
      <c r="S44" s="150">
        <f>'No1'!H48</f>
        <v>0.46647698870909998</v>
      </c>
      <c r="T44" s="145"/>
    </row>
    <row r="45" spans="1:20" ht="30" customHeight="1" x14ac:dyDescent="0.25">
      <c r="A45" s="144">
        <v>45844</v>
      </c>
      <c r="B45" s="128"/>
      <c r="C45" s="128"/>
      <c r="D45" s="145"/>
      <c r="E45" s="145"/>
      <c r="F45" s="149">
        <v>42</v>
      </c>
      <c r="G45" s="149">
        <f t="shared" si="0"/>
        <v>78</v>
      </c>
      <c r="H45" s="160">
        <v>1.2109999999999999E-2</v>
      </c>
      <c r="I45" s="160">
        <f t="shared" si="2"/>
        <v>0.1301199999999999</v>
      </c>
      <c r="N45" s="147"/>
      <c r="P45" s="148">
        <v>42</v>
      </c>
      <c r="Q45" s="148">
        <v>42</v>
      </c>
      <c r="R45" s="150">
        <f t="shared" si="1"/>
        <v>0.46647698870909998</v>
      </c>
      <c r="S45" s="150">
        <f>'No1'!H49</f>
        <v>0.46647698870909998</v>
      </c>
      <c r="T45" s="145"/>
    </row>
    <row r="46" spans="1:20" ht="30" customHeight="1" x14ac:dyDescent="0.25">
      <c r="A46" s="144">
        <v>45845</v>
      </c>
      <c r="B46" s="128"/>
      <c r="C46" s="128"/>
      <c r="D46" s="145"/>
      <c r="E46" s="145"/>
      <c r="F46" s="149">
        <v>43</v>
      </c>
      <c r="G46" s="149">
        <f t="shared" si="0"/>
        <v>77</v>
      </c>
      <c r="H46" s="160">
        <v>1.2109999999999999E-2</v>
      </c>
      <c r="I46" s="160">
        <f t="shared" si="2"/>
        <v>0.14222999999999991</v>
      </c>
      <c r="N46" s="147"/>
      <c r="P46" s="148">
        <v>43</v>
      </c>
      <c r="Q46" s="148">
        <v>43</v>
      </c>
      <c r="R46" s="150">
        <f t="shared" si="1"/>
        <v>0.46647698870909998</v>
      </c>
      <c r="S46" s="150">
        <f>'No1'!H50</f>
        <v>0.46647698870909998</v>
      </c>
      <c r="T46" s="145"/>
    </row>
    <row r="47" spans="1:20" ht="30" customHeight="1" x14ac:dyDescent="0.25">
      <c r="A47" s="144">
        <v>45846</v>
      </c>
      <c r="B47" s="128"/>
      <c r="C47" s="128"/>
      <c r="D47" s="145"/>
      <c r="E47" s="145"/>
      <c r="F47" s="149">
        <v>44</v>
      </c>
      <c r="G47" s="149">
        <f t="shared" si="0"/>
        <v>76</v>
      </c>
      <c r="H47" s="160">
        <v>1.2109999999999999E-2</v>
      </c>
      <c r="I47" s="160">
        <f t="shared" si="2"/>
        <v>0.15433999999999992</v>
      </c>
      <c r="N47" s="147"/>
      <c r="P47" s="148">
        <v>44</v>
      </c>
      <c r="Q47" s="148">
        <v>44</v>
      </c>
      <c r="R47" s="150">
        <f t="shared" si="1"/>
        <v>0.46647698870909998</v>
      </c>
      <c r="S47" s="150">
        <f>'No1'!H51</f>
        <v>0.46647698870909998</v>
      </c>
      <c r="T47" s="145"/>
    </row>
    <row r="48" spans="1:20" ht="30" customHeight="1" x14ac:dyDescent="0.25">
      <c r="A48" s="144">
        <v>45847</v>
      </c>
      <c r="B48" s="128"/>
      <c r="C48" s="128"/>
      <c r="D48" s="145"/>
      <c r="E48" s="145"/>
      <c r="F48" s="149">
        <v>45</v>
      </c>
      <c r="G48" s="149">
        <f t="shared" si="0"/>
        <v>75</v>
      </c>
      <c r="H48" s="160">
        <v>1.2109999999999999E-2</v>
      </c>
      <c r="I48" s="160">
        <f t="shared" si="2"/>
        <v>0.16644999999999993</v>
      </c>
      <c r="N48" s="147"/>
      <c r="P48" s="148">
        <v>45</v>
      </c>
      <c r="Q48" s="148">
        <v>45</v>
      </c>
      <c r="R48" s="150">
        <f t="shared" si="1"/>
        <v>0.46647698870909998</v>
      </c>
      <c r="S48" s="150">
        <f>'No1'!H52</f>
        <v>0.46647698870909998</v>
      </c>
      <c r="T48" s="145"/>
    </row>
    <row r="49" spans="1:20" ht="30" customHeight="1" x14ac:dyDescent="0.25">
      <c r="A49" s="144">
        <v>45848</v>
      </c>
      <c r="B49" s="128"/>
      <c r="C49" s="128"/>
      <c r="D49" s="145"/>
      <c r="E49" s="145"/>
      <c r="F49" s="149">
        <v>46</v>
      </c>
      <c r="G49" s="149">
        <f t="shared" si="0"/>
        <v>74</v>
      </c>
      <c r="H49" s="160">
        <v>1.2109999999999999E-2</v>
      </c>
      <c r="I49" s="160">
        <f t="shared" si="2"/>
        <v>0.17855999999999994</v>
      </c>
      <c r="K49" s="8">
        <f>I49</f>
        <v>0.17855999999999994</v>
      </c>
      <c r="N49" s="147"/>
      <c r="P49" s="148">
        <v>46</v>
      </c>
      <c r="Q49" s="148">
        <v>46</v>
      </c>
      <c r="R49" s="150">
        <f t="shared" si="1"/>
        <v>0.46647698870909998</v>
      </c>
      <c r="S49" s="150">
        <f>'No1'!H53</f>
        <v>0.46647698870909998</v>
      </c>
      <c r="T49" s="145"/>
    </row>
    <row r="50" spans="1:20" ht="30" customHeight="1" x14ac:dyDescent="0.25">
      <c r="A50" s="144">
        <v>45849</v>
      </c>
      <c r="B50" s="128"/>
      <c r="C50" s="128"/>
      <c r="D50" s="145"/>
      <c r="E50" s="145"/>
      <c r="F50" s="149">
        <v>47</v>
      </c>
      <c r="G50" s="149">
        <f t="shared" si="0"/>
        <v>73</v>
      </c>
      <c r="H50" s="160">
        <v>1.2109999999999999E-2</v>
      </c>
      <c r="I50" s="160">
        <f t="shared" si="2"/>
        <v>0.19066999999999995</v>
      </c>
      <c r="N50" s="147"/>
      <c r="P50" s="148">
        <v>47</v>
      </c>
      <c r="Q50" s="148">
        <v>47</v>
      </c>
      <c r="R50" s="150">
        <f t="shared" si="1"/>
        <v>0.46647698870909998</v>
      </c>
      <c r="S50" s="150">
        <f>'No1'!H54</f>
        <v>0.46647698870909998</v>
      </c>
      <c r="T50" s="145"/>
    </row>
    <row r="51" spans="1:20" ht="30" customHeight="1" x14ac:dyDescent="0.25">
      <c r="A51" s="144">
        <v>45850</v>
      </c>
      <c r="B51" s="128"/>
      <c r="C51" s="128"/>
      <c r="D51" s="145"/>
      <c r="E51" s="145"/>
      <c r="F51" s="149">
        <v>48</v>
      </c>
      <c r="G51" s="149">
        <f t="shared" si="0"/>
        <v>72</v>
      </c>
      <c r="H51" s="160">
        <v>1.2109999999999999E-2</v>
      </c>
      <c r="I51" s="160">
        <f t="shared" si="2"/>
        <v>0.20277999999999996</v>
      </c>
      <c r="N51" s="147"/>
      <c r="P51" s="148">
        <v>48</v>
      </c>
      <c r="Q51" s="148">
        <v>48</v>
      </c>
      <c r="R51" s="150">
        <f t="shared" si="1"/>
        <v>0.46647698870909998</v>
      </c>
      <c r="S51" s="150">
        <f>'No1'!H55</f>
        <v>0.46647698870909998</v>
      </c>
      <c r="T51" s="145"/>
    </row>
    <row r="52" spans="1:20" ht="30" customHeight="1" x14ac:dyDescent="0.25">
      <c r="A52" s="144">
        <v>45851</v>
      </c>
      <c r="B52" s="128"/>
      <c r="C52" s="128"/>
      <c r="D52" s="145"/>
      <c r="E52" s="145"/>
      <c r="F52" s="149">
        <v>49</v>
      </c>
      <c r="G52" s="149">
        <f t="shared" si="0"/>
        <v>71</v>
      </c>
      <c r="H52" s="160">
        <v>1.2109999999999999E-2</v>
      </c>
      <c r="I52" s="160">
        <f t="shared" si="2"/>
        <v>0.21488999999999997</v>
      </c>
      <c r="N52" s="147"/>
      <c r="P52" s="148">
        <v>49</v>
      </c>
      <c r="Q52" s="148">
        <v>49</v>
      </c>
      <c r="R52" s="150">
        <f t="shared" si="1"/>
        <v>0.46647698870909998</v>
      </c>
      <c r="S52" s="150">
        <f>'No1'!H56</f>
        <v>0.46647698870909998</v>
      </c>
      <c r="T52" s="145"/>
    </row>
    <row r="53" spans="1:20" ht="30" customHeight="1" x14ac:dyDescent="0.25">
      <c r="A53" s="144">
        <v>45852</v>
      </c>
      <c r="B53" s="128"/>
      <c r="C53" s="128"/>
      <c r="D53" s="145"/>
      <c r="E53" s="145"/>
      <c r="F53" s="149">
        <v>50</v>
      </c>
      <c r="G53" s="149">
        <f t="shared" si="0"/>
        <v>70</v>
      </c>
      <c r="H53" s="160">
        <v>1.2109999999999999E-2</v>
      </c>
      <c r="I53" s="160">
        <f t="shared" si="2"/>
        <v>0.22699999999999998</v>
      </c>
      <c r="N53" s="147"/>
      <c r="P53" s="148">
        <v>50</v>
      </c>
      <c r="Q53" s="148">
        <v>50</v>
      </c>
      <c r="R53" s="150">
        <f t="shared" si="1"/>
        <v>0.46647698870909998</v>
      </c>
      <c r="S53" s="150">
        <f>'No1'!H57</f>
        <v>0.46647698870909998</v>
      </c>
      <c r="T53" s="145"/>
    </row>
    <row r="54" spans="1:20" ht="30" customHeight="1" x14ac:dyDescent="0.25">
      <c r="A54" s="144">
        <v>45853</v>
      </c>
      <c r="B54" s="128"/>
      <c r="C54" s="128"/>
      <c r="D54" s="145"/>
      <c r="E54" s="145"/>
      <c r="F54" s="149">
        <v>51</v>
      </c>
      <c r="G54" s="149">
        <f t="shared" si="0"/>
        <v>69</v>
      </c>
      <c r="H54" s="160">
        <v>1.1470000000000001E-2</v>
      </c>
      <c r="I54" s="160">
        <f t="shared" si="2"/>
        <v>0.23846999999999999</v>
      </c>
      <c r="J54" s="8">
        <f>I54</f>
        <v>0.23846999999999999</v>
      </c>
      <c r="N54" s="147"/>
      <c r="P54" s="148">
        <v>51</v>
      </c>
      <c r="Q54" s="148">
        <v>51</v>
      </c>
      <c r="R54" s="150">
        <f t="shared" si="1"/>
        <v>0.46647698870909998</v>
      </c>
      <c r="S54" s="150">
        <f>'No1'!H58</f>
        <v>0.46647698870909998</v>
      </c>
      <c r="T54" s="145"/>
    </row>
    <row r="55" spans="1:20" ht="30" customHeight="1" x14ac:dyDescent="0.25">
      <c r="A55" s="144">
        <v>45854</v>
      </c>
      <c r="B55" s="128"/>
      <c r="C55" s="128"/>
      <c r="D55" s="145"/>
      <c r="E55" s="145"/>
      <c r="F55" s="149">
        <v>52</v>
      </c>
      <c r="G55" s="149">
        <f t="shared" si="0"/>
        <v>68</v>
      </c>
      <c r="H55" s="160">
        <v>1.1470000000000001E-2</v>
      </c>
      <c r="I55" s="160">
        <f t="shared" si="2"/>
        <v>0.24994</v>
      </c>
      <c r="N55" s="147"/>
      <c r="P55" s="148">
        <v>52</v>
      </c>
      <c r="Q55" s="148">
        <v>52</v>
      </c>
      <c r="R55" s="150">
        <f t="shared" si="1"/>
        <v>0.46647698870909998</v>
      </c>
      <c r="S55" s="150">
        <f>'No1'!H59</f>
        <v>0.46647698870909998</v>
      </c>
      <c r="T55" s="145"/>
    </row>
    <row r="56" spans="1:20" ht="30" customHeight="1" x14ac:dyDescent="0.25">
      <c r="A56" s="144">
        <v>45855</v>
      </c>
      <c r="B56" s="128"/>
      <c r="C56" s="128"/>
      <c r="D56" s="145"/>
      <c r="E56" s="145"/>
      <c r="F56" s="149">
        <v>53</v>
      </c>
      <c r="G56" s="149">
        <f t="shared" si="0"/>
        <v>67</v>
      </c>
      <c r="H56" s="160">
        <v>1.1470000000000001E-2</v>
      </c>
      <c r="I56" s="160">
        <f t="shared" si="2"/>
        <v>0.26140999999999998</v>
      </c>
      <c r="N56" s="147"/>
      <c r="P56" s="148">
        <v>53</v>
      </c>
      <c r="Q56" s="148">
        <v>53</v>
      </c>
      <c r="R56" s="150">
        <f t="shared" si="1"/>
        <v>0.46647698870909998</v>
      </c>
      <c r="S56" s="150">
        <f>'No1'!H60</f>
        <v>0.46647698870909998</v>
      </c>
      <c r="T56" s="145"/>
    </row>
    <row r="57" spans="1:20" ht="30" customHeight="1" x14ac:dyDescent="0.25">
      <c r="A57" s="144">
        <v>45856</v>
      </c>
      <c r="B57" s="128"/>
      <c r="C57" s="128"/>
      <c r="D57" s="145"/>
      <c r="E57" s="145"/>
      <c r="F57" s="149">
        <v>54</v>
      </c>
      <c r="G57" s="149">
        <f t="shared" si="0"/>
        <v>66</v>
      </c>
      <c r="H57" s="160">
        <v>1.1470000000000001E-2</v>
      </c>
      <c r="I57" s="160">
        <f t="shared" si="2"/>
        <v>0.27287999999999996</v>
      </c>
      <c r="N57" s="147"/>
      <c r="P57" s="148">
        <v>54</v>
      </c>
      <c r="Q57" s="148">
        <v>54</v>
      </c>
      <c r="R57" s="150">
        <f t="shared" si="1"/>
        <v>0.46647698870909998</v>
      </c>
      <c r="S57" s="150">
        <f>'No1'!H61</f>
        <v>0.46647698870909998</v>
      </c>
      <c r="T57" s="145"/>
    </row>
    <row r="58" spans="1:20" ht="30" customHeight="1" x14ac:dyDescent="0.25">
      <c r="A58" s="144">
        <v>45857</v>
      </c>
      <c r="B58" s="128"/>
      <c r="C58" s="128"/>
      <c r="D58" s="145"/>
      <c r="E58" s="145"/>
      <c r="F58" s="149">
        <v>55</v>
      </c>
      <c r="G58" s="149">
        <f t="shared" si="0"/>
        <v>65</v>
      </c>
      <c r="H58" s="160">
        <v>1.1470000000000001E-2</v>
      </c>
      <c r="I58" s="160">
        <f t="shared" si="2"/>
        <v>0.28434999999999994</v>
      </c>
      <c r="N58" s="147"/>
      <c r="P58" s="148">
        <v>55</v>
      </c>
      <c r="Q58" s="148">
        <v>55</v>
      </c>
      <c r="R58" s="150">
        <f t="shared" si="1"/>
        <v>0.46647698870909998</v>
      </c>
      <c r="S58" s="150">
        <f>'No1'!H62</f>
        <v>0.46647698870909998</v>
      </c>
      <c r="T58" s="145"/>
    </row>
    <row r="59" spans="1:20" ht="30" customHeight="1" x14ac:dyDescent="0.25">
      <c r="A59" s="144">
        <v>45858</v>
      </c>
      <c r="B59" s="128"/>
      <c r="C59" s="128"/>
      <c r="D59" s="145"/>
      <c r="E59" s="145"/>
      <c r="F59" s="149">
        <v>56</v>
      </c>
      <c r="G59" s="149">
        <f t="shared" si="0"/>
        <v>64</v>
      </c>
      <c r="H59" s="160">
        <v>1.1470000000000001E-2</v>
      </c>
      <c r="I59" s="160">
        <f t="shared" si="2"/>
        <v>0.29581999999999992</v>
      </c>
      <c r="N59" s="147"/>
      <c r="P59" s="148">
        <v>56</v>
      </c>
      <c r="Q59" s="148">
        <v>56</v>
      </c>
      <c r="R59" s="150">
        <f t="shared" si="1"/>
        <v>0.46647698870909998</v>
      </c>
      <c r="S59" s="150">
        <f>'No1'!H63</f>
        <v>0.46647698870909998</v>
      </c>
      <c r="T59" s="145"/>
    </row>
    <row r="60" spans="1:20" ht="30" customHeight="1" x14ac:dyDescent="0.25">
      <c r="A60" s="144">
        <v>45859</v>
      </c>
      <c r="B60" s="128"/>
      <c r="C60" s="128"/>
      <c r="D60" s="145"/>
      <c r="E60" s="145"/>
      <c r="F60" s="149">
        <v>57</v>
      </c>
      <c r="G60" s="149">
        <f t="shared" si="0"/>
        <v>63</v>
      </c>
      <c r="H60" s="160">
        <v>1.1470000000000001E-2</v>
      </c>
      <c r="I60" s="160">
        <f t="shared" si="2"/>
        <v>0.3072899999999999</v>
      </c>
      <c r="N60" s="147"/>
      <c r="P60" s="148">
        <v>57</v>
      </c>
      <c r="Q60" s="148">
        <v>57</v>
      </c>
      <c r="R60" s="150">
        <f t="shared" si="1"/>
        <v>0.46647698870909998</v>
      </c>
      <c r="S60" s="150">
        <f>'No1'!H64</f>
        <v>0.46647698870909998</v>
      </c>
      <c r="T60" s="145"/>
    </row>
    <row r="61" spans="1:20" ht="30" customHeight="1" x14ac:dyDescent="0.25">
      <c r="A61" s="144">
        <v>45860</v>
      </c>
      <c r="B61" s="128"/>
      <c r="C61" s="128"/>
      <c r="D61" s="145"/>
      <c r="E61" s="145"/>
      <c r="F61" s="149">
        <v>58</v>
      </c>
      <c r="G61" s="149">
        <f t="shared" si="0"/>
        <v>62</v>
      </c>
      <c r="H61" s="160">
        <v>1.1470000000000001E-2</v>
      </c>
      <c r="I61" s="160">
        <f t="shared" si="2"/>
        <v>0.31875999999999988</v>
      </c>
      <c r="N61" s="147"/>
      <c r="P61" s="148">
        <v>58</v>
      </c>
      <c r="Q61" s="148">
        <v>58</v>
      </c>
      <c r="R61" s="150">
        <f t="shared" si="1"/>
        <v>0.46647698870909998</v>
      </c>
      <c r="S61" s="150">
        <f>'No1'!H65</f>
        <v>0.46647698870909998</v>
      </c>
      <c r="T61" s="145"/>
    </row>
    <row r="62" spans="1:20" ht="30" customHeight="1" x14ac:dyDescent="0.25">
      <c r="A62" s="144">
        <v>45861</v>
      </c>
      <c r="B62" s="128"/>
      <c r="C62" s="128"/>
      <c r="D62" s="145"/>
      <c r="E62" s="145"/>
      <c r="F62" s="149">
        <v>59</v>
      </c>
      <c r="G62" s="149">
        <f t="shared" si="0"/>
        <v>61</v>
      </c>
      <c r="H62" s="160">
        <v>1.1470000000000001E-2</v>
      </c>
      <c r="I62" s="160">
        <f t="shared" si="2"/>
        <v>0.33022999999999986</v>
      </c>
      <c r="N62" s="147"/>
      <c r="P62" s="148">
        <v>59</v>
      </c>
      <c r="Q62" s="148">
        <v>59</v>
      </c>
      <c r="R62" s="150">
        <f t="shared" si="1"/>
        <v>0.46647698870909998</v>
      </c>
      <c r="S62" s="150">
        <f>'No1'!H66</f>
        <v>0.46647698870909998</v>
      </c>
      <c r="T62" s="145"/>
    </row>
    <row r="63" spans="1:20" ht="30" customHeight="1" x14ac:dyDescent="0.25">
      <c r="A63" s="144">
        <v>45862</v>
      </c>
      <c r="B63" s="128"/>
      <c r="C63" s="128"/>
      <c r="D63" s="145"/>
      <c r="E63" s="145"/>
      <c r="F63" s="149">
        <v>60</v>
      </c>
      <c r="G63" s="149">
        <f t="shared" si="0"/>
        <v>60</v>
      </c>
      <c r="H63" s="160">
        <v>1.1470000000000001E-2</v>
      </c>
      <c r="I63" s="160">
        <f t="shared" si="2"/>
        <v>0.34169999999999984</v>
      </c>
      <c r="N63" s="147"/>
      <c r="P63" s="148">
        <v>60</v>
      </c>
      <c r="Q63" s="148">
        <v>60</v>
      </c>
      <c r="R63" s="150">
        <f t="shared" si="1"/>
        <v>0.46647698870909998</v>
      </c>
      <c r="S63" s="150">
        <f>'No1'!H67</f>
        <v>0.46647698870909998</v>
      </c>
      <c r="T63" s="145"/>
    </row>
    <row r="64" spans="1:20" ht="30" customHeight="1" x14ac:dyDescent="0.25">
      <c r="A64" s="144">
        <v>45863</v>
      </c>
      <c r="B64" s="128"/>
      <c r="C64" s="128"/>
      <c r="D64" s="145"/>
      <c r="E64" s="145"/>
      <c r="F64" s="149">
        <v>61</v>
      </c>
      <c r="G64" s="149">
        <f t="shared" si="0"/>
        <v>59</v>
      </c>
      <c r="H64" s="160">
        <v>9.9499999999999988E-3</v>
      </c>
      <c r="I64" s="160">
        <f t="shared" si="2"/>
        <v>0.35164999999999985</v>
      </c>
      <c r="K64" s="8">
        <f>I64</f>
        <v>0.35164999999999985</v>
      </c>
      <c r="N64" s="147"/>
      <c r="P64" s="148">
        <v>61</v>
      </c>
      <c r="Q64" s="148">
        <v>61</v>
      </c>
      <c r="R64" s="150">
        <f t="shared" si="1"/>
        <v>0.46647698870909998</v>
      </c>
      <c r="S64" s="150">
        <f>'No1'!H68</f>
        <v>0.46647698870909998</v>
      </c>
      <c r="T64" s="145"/>
    </row>
    <row r="65" spans="1:20" ht="30" customHeight="1" x14ac:dyDescent="0.25">
      <c r="A65" s="144">
        <v>45864</v>
      </c>
      <c r="B65" s="128"/>
      <c r="C65" s="128"/>
      <c r="D65" s="145"/>
      <c r="E65" s="145"/>
      <c r="F65" s="149">
        <v>62</v>
      </c>
      <c r="G65" s="149">
        <f t="shared" si="0"/>
        <v>58</v>
      </c>
      <c r="H65" s="160">
        <v>9.9499999999999988E-3</v>
      </c>
      <c r="I65" s="160">
        <f t="shared" si="2"/>
        <v>0.36159999999999987</v>
      </c>
      <c r="N65" s="147"/>
      <c r="P65" s="148">
        <v>62</v>
      </c>
      <c r="Q65" s="148">
        <v>62</v>
      </c>
      <c r="R65" s="150">
        <f t="shared" si="1"/>
        <v>0.46647698870909998</v>
      </c>
      <c r="S65" s="150">
        <f>'No1'!H69</f>
        <v>0.46647698870909998</v>
      </c>
      <c r="T65" s="145"/>
    </row>
    <row r="66" spans="1:20" ht="30" customHeight="1" x14ac:dyDescent="0.25">
      <c r="A66" s="144">
        <v>45865</v>
      </c>
      <c r="B66" s="128"/>
      <c r="C66" s="128"/>
      <c r="D66" s="145"/>
      <c r="E66" s="145"/>
      <c r="F66" s="149">
        <v>63</v>
      </c>
      <c r="G66" s="149">
        <f t="shared" si="0"/>
        <v>57</v>
      </c>
      <c r="H66" s="160">
        <v>9.9499999999999988E-3</v>
      </c>
      <c r="I66" s="160">
        <f t="shared" si="2"/>
        <v>0.37154999999999988</v>
      </c>
      <c r="N66" s="147"/>
      <c r="P66" s="148">
        <v>63</v>
      </c>
      <c r="Q66" s="148">
        <v>63</v>
      </c>
      <c r="R66" s="150">
        <f t="shared" si="1"/>
        <v>0.46647698870909998</v>
      </c>
      <c r="S66" s="150">
        <f>'No1'!H70</f>
        <v>0.46647698870909998</v>
      </c>
      <c r="T66" s="145"/>
    </row>
    <row r="67" spans="1:20" ht="30" customHeight="1" x14ac:dyDescent="0.25">
      <c r="A67" s="144">
        <v>45866</v>
      </c>
      <c r="B67" s="128"/>
      <c r="C67" s="128"/>
      <c r="D67" s="145"/>
      <c r="E67" s="145"/>
      <c r="F67" s="149">
        <v>64</v>
      </c>
      <c r="G67" s="149">
        <f t="shared" si="0"/>
        <v>56</v>
      </c>
      <c r="H67" s="160">
        <v>9.9499999999999988E-3</v>
      </c>
      <c r="I67" s="160">
        <f t="shared" si="2"/>
        <v>0.38149999999999989</v>
      </c>
      <c r="N67" s="147"/>
      <c r="P67" s="148">
        <v>64</v>
      </c>
      <c r="Q67" s="148">
        <v>64</v>
      </c>
      <c r="R67" s="150">
        <f t="shared" si="1"/>
        <v>0.46647698870909998</v>
      </c>
      <c r="S67" s="150">
        <f>'No1'!H71</f>
        <v>0.46647698870909998</v>
      </c>
      <c r="T67" s="145"/>
    </row>
    <row r="68" spans="1:20" ht="30" customHeight="1" x14ac:dyDescent="0.25">
      <c r="A68" s="144">
        <v>45867</v>
      </c>
      <c r="B68" s="128"/>
      <c r="C68" s="128"/>
      <c r="D68" s="145"/>
      <c r="E68" s="145"/>
      <c r="F68" s="149">
        <v>65</v>
      </c>
      <c r="G68" s="149">
        <f t="shared" si="0"/>
        <v>55</v>
      </c>
      <c r="H68" s="160">
        <v>9.9499999999999988E-3</v>
      </c>
      <c r="I68" s="160">
        <f t="shared" si="2"/>
        <v>0.39144999999999991</v>
      </c>
      <c r="N68" s="147"/>
      <c r="P68" s="148">
        <v>65</v>
      </c>
      <c r="Q68" s="148">
        <v>65</v>
      </c>
      <c r="R68" s="150">
        <f t="shared" si="1"/>
        <v>0.46647698870909998</v>
      </c>
      <c r="S68" s="150">
        <f>'No1'!H72</f>
        <v>0.46647698870909998</v>
      </c>
      <c r="T68" s="145"/>
    </row>
    <row r="69" spans="1:20" ht="30" customHeight="1" x14ac:dyDescent="0.25">
      <c r="A69" s="144">
        <v>45868</v>
      </c>
      <c r="B69" s="128"/>
      <c r="C69" s="128"/>
      <c r="D69" s="145"/>
      <c r="E69" s="145"/>
      <c r="F69" s="149">
        <v>66</v>
      </c>
      <c r="G69" s="149">
        <f t="shared" ref="G69:G123" si="3">$G$2-F69</f>
        <v>54</v>
      </c>
      <c r="H69" s="160">
        <v>9.9499999999999988E-3</v>
      </c>
      <c r="I69" s="160">
        <f t="shared" si="2"/>
        <v>0.40139999999999992</v>
      </c>
      <c r="J69" s="8"/>
      <c r="N69" s="147"/>
      <c r="P69" s="148">
        <v>66</v>
      </c>
      <c r="Q69" s="148">
        <v>66</v>
      </c>
      <c r="R69" s="150">
        <f t="shared" ref="R69:R123" si="4">S69</f>
        <v>0.46647698870909998</v>
      </c>
      <c r="S69" s="150">
        <f>'No1'!H73</f>
        <v>0.46647698870909998</v>
      </c>
      <c r="T69" s="145"/>
    </row>
    <row r="70" spans="1:20" ht="30" customHeight="1" x14ac:dyDescent="0.25">
      <c r="A70" s="144">
        <v>45869</v>
      </c>
      <c r="B70" s="128"/>
      <c r="C70" s="128"/>
      <c r="D70" s="145"/>
      <c r="E70" s="145"/>
      <c r="F70" s="149">
        <v>67</v>
      </c>
      <c r="G70" s="149">
        <f t="shared" si="3"/>
        <v>53</v>
      </c>
      <c r="H70" s="160">
        <v>9.9499999999999988E-3</v>
      </c>
      <c r="I70" s="160">
        <f t="shared" ref="I70:I123" si="5">I69+H70</f>
        <v>0.41134999999999994</v>
      </c>
      <c r="J70" s="8">
        <f>I70</f>
        <v>0.41134999999999994</v>
      </c>
      <c r="N70" s="147"/>
      <c r="P70" s="148">
        <v>67</v>
      </c>
      <c r="Q70" s="148">
        <v>67</v>
      </c>
      <c r="R70" s="150">
        <f t="shared" si="4"/>
        <v>0.46647698870909998</v>
      </c>
      <c r="S70" s="150">
        <f>'No1'!H74</f>
        <v>0.46647698870909998</v>
      </c>
      <c r="T70" s="145"/>
    </row>
    <row r="71" spans="1:20" ht="30" customHeight="1" x14ac:dyDescent="0.25">
      <c r="A71" s="144">
        <v>45870</v>
      </c>
      <c r="B71" s="128"/>
      <c r="C71" s="128"/>
      <c r="D71" s="145"/>
      <c r="E71" s="145"/>
      <c r="F71" s="149">
        <v>68</v>
      </c>
      <c r="G71" s="149">
        <f t="shared" si="3"/>
        <v>52</v>
      </c>
      <c r="H71" s="160">
        <v>9.9499999999999988E-3</v>
      </c>
      <c r="I71" s="160">
        <f t="shared" si="5"/>
        <v>0.42129999999999995</v>
      </c>
      <c r="N71" s="147"/>
      <c r="P71" s="148">
        <v>68</v>
      </c>
      <c r="Q71" s="148">
        <v>68</v>
      </c>
      <c r="R71" s="150">
        <f t="shared" si="4"/>
        <v>0.46647698870909998</v>
      </c>
      <c r="S71" s="150">
        <f>'No1'!H75</f>
        <v>0.46647698870909998</v>
      </c>
      <c r="T71" s="145"/>
    </row>
    <row r="72" spans="1:20" ht="30" customHeight="1" x14ac:dyDescent="0.25">
      <c r="A72" s="144">
        <v>45871</v>
      </c>
      <c r="B72" s="128"/>
      <c r="C72" s="128"/>
      <c r="D72" s="145"/>
      <c r="E72" s="145"/>
      <c r="F72" s="149">
        <v>69</v>
      </c>
      <c r="G72" s="149">
        <f t="shared" si="3"/>
        <v>51</v>
      </c>
      <c r="H72" s="160">
        <v>9.9499999999999988E-3</v>
      </c>
      <c r="I72" s="160">
        <f t="shared" si="5"/>
        <v>0.43124999999999997</v>
      </c>
      <c r="N72" s="147"/>
      <c r="P72" s="148">
        <v>69</v>
      </c>
      <c r="Q72" s="148">
        <v>69</v>
      </c>
      <c r="R72" s="150">
        <f t="shared" si="4"/>
        <v>0.46647698870909998</v>
      </c>
      <c r="S72" s="150">
        <f>'No1'!H76</f>
        <v>0.46647698870909998</v>
      </c>
      <c r="T72" s="145"/>
    </row>
    <row r="73" spans="1:20" ht="30" customHeight="1" x14ac:dyDescent="0.25">
      <c r="A73" s="144">
        <v>45872</v>
      </c>
      <c r="B73" s="128"/>
      <c r="C73" s="128"/>
      <c r="D73" s="145"/>
      <c r="E73" s="145"/>
      <c r="F73" s="149">
        <v>70</v>
      </c>
      <c r="G73" s="149">
        <f t="shared" si="3"/>
        <v>50</v>
      </c>
      <c r="H73" s="160">
        <v>9.9499999999999988E-3</v>
      </c>
      <c r="I73" s="160">
        <f t="shared" si="5"/>
        <v>0.44119999999999998</v>
      </c>
      <c r="N73" s="147"/>
      <c r="P73" s="148">
        <v>70</v>
      </c>
      <c r="Q73" s="148">
        <v>70</v>
      </c>
      <c r="R73" s="150">
        <f t="shared" si="4"/>
        <v>0.46647698870909998</v>
      </c>
      <c r="S73" s="150">
        <f>'No1'!H77</f>
        <v>0.46647698870909998</v>
      </c>
      <c r="T73" s="145"/>
    </row>
    <row r="74" spans="1:20" ht="30" customHeight="1" x14ac:dyDescent="0.25">
      <c r="A74" s="144">
        <v>45873</v>
      </c>
      <c r="B74" s="128"/>
      <c r="C74" s="128"/>
      <c r="D74" s="145"/>
      <c r="E74" s="145"/>
      <c r="F74" s="149">
        <v>71</v>
      </c>
      <c r="G74" s="149">
        <f t="shared" si="3"/>
        <v>49</v>
      </c>
      <c r="H74" s="160">
        <v>9.6699999999999998E-3</v>
      </c>
      <c r="I74" s="160">
        <f t="shared" si="5"/>
        <v>0.45086999999999999</v>
      </c>
      <c r="N74" s="147"/>
      <c r="P74" s="148">
        <v>71</v>
      </c>
      <c r="Q74" s="148">
        <v>71</v>
      </c>
      <c r="R74" s="150">
        <f t="shared" si="4"/>
        <v>0.46647698870909998</v>
      </c>
      <c r="S74" s="150">
        <f>'No1'!H78</f>
        <v>0.46647698870909998</v>
      </c>
      <c r="T74" s="145"/>
    </row>
    <row r="75" spans="1:20" ht="30" customHeight="1" x14ac:dyDescent="0.25">
      <c r="A75" s="144">
        <v>45874</v>
      </c>
      <c r="B75" s="128"/>
      <c r="C75" s="128"/>
      <c r="D75" s="145"/>
      <c r="E75" s="145"/>
      <c r="F75" s="149">
        <v>72</v>
      </c>
      <c r="G75" s="149">
        <f t="shared" si="3"/>
        <v>48</v>
      </c>
      <c r="H75" s="160">
        <v>9.6699999999999998E-3</v>
      </c>
      <c r="I75" s="160">
        <f t="shared" si="5"/>
        <v>0.46054</v>
      </c>
      <c r="N75" s="147"/>
      <c r="P75" s="148">
        <v>72</v>
      </c>
      <c r="Q75" s="148">
        <v>72</v>
      </c>
      <c r="R75" s="150">
        <f t="shared" si="4"/>
        <v>0.46647698870909998</v>
      </c>
      <c r="S75" s="150">
        <f>'No1'!H79</f>
        <v>0.46647698870909998</v>
      </c>
      <c r="T75" s="145"/>
    </row>
    <row r="76" spans="1:20" ht="30" customHeight="1" x14ac:dyDescent="0.25">
      <c r="A76" s="144">
        <v>45875</v>
      </c>
      <c r="B76" s="128"/>
      <c r="C76" s="128"/>
      <c r="D76" s="145"/>
      <c r="E76" s="145"/>
      <c r="F76" s="149">
        <v>73</v>
      </c>
      <c r="G76" s="149">
        <f t="shared" si="3"/>
        <v>47</v>
      </c>
      <c r="H76" s="160">
        <v>9.6699999999999998E-3</v>
      </c>
      <c r="I76" s="160">
        <f t="shared" si="5"/>
        <v>0.47021000000000002</v>
      </c>
      <c r="N76" s="147"/>
      <c r="P76" s="148">
        <v>73</v>
      </c>
      <c r="Q76" s="148">
        <v>73</v>
      </c>
      <c r="R76" s="150">
        <f t="shared" si="4"/>
        <v>0.46647698870909998</v>
      </c>
      <c r="S76" s="150">
        <f>'No1'!H80</f>
        <v>0.46647698870909998</v>
      </c>
      <c r="T76" s="145"/>
    </row>
    <row r="77" spans="1:20" ht="30" customHeight="1" x14ac:dyDescent="0.25">
      <c r="A77" s="144">
        <v>45876</v>
      </c>
      <c r="B77" s="128"/>
      <c r="C77" s="128"/>
      <c r="D77" s="145"/>
      <c r="E77" s="145"/>
      <c r="F77" s="149">
        <v>74</v>
      </c>
      <c r="G77" s="149">
        <f t="shared" si="3"/>
        <v>46</v>
      </c>
      <c r="H77" s="160">
        <v>9.6699999999999998E-3</v>
      </c>
      <c r="I77" s="160">
        <f t="shared" si="5"/>
        <v>0.47988000000000003</v>
      </c>
      <c r="N77" s="147"/>
      <c r="P77" s="148">
        <v>74</v>
      </c>
      <c r="Q77" s="148">
        <v>74</v>
      </c>
      <c r="R77" s="150">
        <f t="shared" si="4"/>
        <v>0.46647698870909998</v>
      </c>
      <c r="S77" s="150">
        <f>'No1'!H81</f>
        <v>0.46647698870909998</v>
      </c>
      <c r="T77" s="145"/>
    </row>
    <row r="78" spans="1:20" ht="30" customHeight="1" x14ac:dyDescent="0.25">
      <c r="A78" s="144">
        <v>45877</v>
      </c>
      <c r="B78" s="128"/>
      <c r="C78" s="128"/>
      <c r="D78" s="145"/>
      <c r="E78" s="145"/>
      <c r="F78" s="149">
        <v>75</v>
      </c>
      <c r="G78" s="149">
        <f t="shared" si="3"/>
        <v>45</v>
      </c>
      <c r="H78" s="160">
        <v>9.6699999999999998E-3</v>
      </c>
      <c r="I78" s="160">
        <f t="shared" si="5"/>
        <v>0.48955000000000004</v>
      </c>
      <c r="N78" s="147"/>
      <c r="P78" s="148">
        <v>75</v>
      </c>
      <c r="Q78" s="148">
        <v>75</v>
      </c>
      <c r="R78" s="150">
        <f t="shared" si="4"/>
        <v>0.46647698870909998</v>
      </c>
      <c r="S78" s="150">
        <f>'No1'!H82</f>
        <v>0.46647698870909998</v>
      </c>
      <c r="T78" s="145"/>
    </row>
    <row r="79" spans="1:20" ht="30" customHeight="1" x14ac:dyDescent="0.25">
      <c r="A79" s="144">
        <v>45878</v>
      </c>
      <c r="B79" s="128"/>
      <c r="C79" s="128"/>
      <c r="D79" s="145"/>
      <c r="E79" s="145"/>
      <c r="F79" s="149">
        <v>76</v>
      </c>
      <c r="G79" s="149">
        <f t="shared" si="3"/>
        <v>44</v>
      </c>
      <c r="H79" s="160">
        <v>9.6699999999999998E-3</v>
      </c>
      <c r="I79" s="160">
        <f t="shared" si="5"/>
        <v>0.49922000000000005</v>
      </c>
      <c r="N79" s="147"/>
      <c r="P79" s="148">
        <v>76</v>
      </c>
      <c r="Q79" s="148">
        <v>76</v>
      </c>
      <c r="R79" s="150">
        <f t="shared" si="4"/>
        <v>0.46647698870909998</v>
      </c>
      <c r="S79" s="150">
        <f>'No1'!H83</f>
        <v>0.46647698870909998</v>
      </c>
      <c r="T79" s="145"/>
    </row>
    <row r="80" spans="1:20" ht="30" customHeight="1" x14ac:dyDescent="0.25">
      <c r="A80" s="144">
        <v>45879</v>
      </c>
      <c r="B80" s="128"/>
      <c r="C80" s="128"/>
      <c r="D80" s="145"/>
      <c r="E80" s="145"/>
      <c r="F80" s="149">
        <v>77</v>
      </c>
      <c r="G80" s="149">
        <f t="shared" si="3"/>
        <v>43</v>
      </c>
      <c r="H80" s="160">
        <v>9.6699999999999998E-3</v>
      </c>
      <c r="I80" s="160">
        <f t="shared" si="5"/>
        <v>0.50889000000000006</v>
      </c>
      <c r="K80" s="8">
        <f>I80</f>
        <v>0.50889000000000006</v>
      </c>
      <c r="N80" s="147"/>
      <c r="P80" s="148">
        <v>77</v>
      </c>
      <c r="Q80" s="148">
        <v>77</v>
      </c>
      <c r="R80" s="150">
        <f t="shared" si="4"/>
        <v>0.46647698870909998</v>
      </c>
      <c r="S80" s="150">
        <f>'No1'!H84</f>
        <v>0.46647698870909998</v>
      </c>
      <c r="T80" s="145"/>
    </row>
    <row r="81" spans="1:20" ht="30" customHeight="1" x14ac:dyDescent="0.25">
      <c r="A81" s="144">
        <v>45880</v>
      </c>
      <c r="B81" s="128"/>
      <c r="C81" s="128"/>
      <c r="D81" s="145"/>
      <c r="E81" s="145"/>
      <c r="F81" s="149">
        <v>78</v>
      </c>
      <c r="G81" s="149">
        <f t="shared" si="3"/>
        <v>42</v>
      </c>
      <c r="H81" s="160">
        <v>9.6699999999999998E-3</v>
      </c>
      <c r="I81" s="160">
        <f t="shared" si="5"/>
        <v>0.51856000000000002</v>
      </c>
      <c r="N81" s="147"/>
      <c r="P81" s="148">
        <v>78</v>
      </c>
      <c r="Q81" s="148">
        <v>78</v>
      </c>
      <c r="R81" s="150">
        <f t="shared" si="4"/>
        <v>0.46647698870909998</v>
      </c>
      <c r="S81" s="150">
        <f>'No1'!H85</f>
        <v>0.46647698870909998</v>
      </c>
      <c r="T81" s="145"/>
    </row>
    <row r="82" spans="1:20" ht="30" customHeight="1" x14ac:dyDescent="0.25">
      <c r="A82" s="144">
        <v>45881</v>
      </c>
      <c r="B82" s="128"/>
      <c r="C82" s="128"/>
      <c r="D82" s="145"/>
      <c r="E82" s="145"/>
      <c r="F82" s="149">
        <v>79</v>
      </c>
      <c r="G82" s="149">
        <f t="shared" si="3"/>
        <v>41</v>
      </c>
      <c r="H82" s="160">
        <v>9.6699999999999998E-3</v>
      </c>
      <c r="I82" s="160">
        <f t="shared" si="5"/>
        <v>0.52822999999999998</v>
      </c>
      <c r="N82" s="147"/>
      <c r="P82" s="148">
        <v>79</v>
      </c>
      <c r="Q82" s="148">
        <v>79</v>
      </c>
      <c r="R82" s="150">
        <f t="shared" si="4"/>
        <v>0.46647698870909998</v>
      </c>
      <c r="S82" s="150">
        <f>'No1'!H86</f>
        <v>0.46647698870909998</v>
      </c>
      <c r="T82" s="145"/>
    </row>
    <row r="83" spans="1:20" ht="30" customHeight="1" x14ac:dyDescent="0.25">
      <c r="A83" s="144">
        <v>45882</v>
      </c>
      <c r="B83" s="128"/>
      <c r="C83" s="128"/>
      <c r="D83" s="145"/>
      <c r="E83" s="145"/>
      <c r="F83" s="149">
        <v>80</v>
      </c>
      <c r="G83" s="149">
        <f t="shared" si="3"/>
        <v>40</v>
      </c>
      <c r="H83" s="160">
        <v>9.6699999999999998E-3</v>
      </c>
      <c r="I83" s="160">
        <f t="shared" si="5"/>
        <v>0.53789999999999993</v>
      </c>
      <c r="N83" s="147"/>
      <c r="P83" s="148">
        <v>80</v>
      </c>
      <c r="Q83" s="148">
        <v>80</v>
      </c>
      <c r="R83" s="150">
        <f t="shared" si="4"/>
        <v>0.46647698870909998</v>
      </c>
      <c r="S83" s="150">
        <f>'No1'!H87</f>
        <v>0.46647698870909998</v>
      </c>
      <c r="T83" s="145"/>
    </row>
    <row r="84" spans="1:20" ht="30" customHeight="1" x14ac:dyDescent="0.25">
      <c r="A84" s="144">
        <v>45883</v>
      </c>
      <c r="B84" s="128"/>
      <c r="C84" s="128"/>
      <c r="D84" s="145"/>
      <c r="E84" s="145"/>
      <c r="F84" s="149">
        <v>81</v>
      </c>
      <c r="G84" s="149">
        <f t="shared" si="3"/>
        <v>39</v>
      </c>
      <c r="H84" s="160">
        <v>1.393E-2</v>
      </c>
      <c r="I84" s="160">
        <f t="shared" si="5"/>
        <v>0.55182999999999993</v>
      </c>
      <c r="N84" s="147"/>
      <c r="P84" s="148">
        <v>81</v>
      </c>
      <c r="Q84" s="148">
        <v>81</v>
      </c>
      <c r="R84" s="150">
        <f t="shared" si="4"/>
        <v>0.46647698870909998</v>
      </c>
      <c r="S84" s="150">
        <f>'No1'!H88</f>
        <v>0.46647698870909998</v>
      </c>
      <c r="T84" s="145"/>
    </row>
    <row r="85" spans="1:20" ht="30" customHeight="1" x14ac:dyDescent="0.25">
      <c r="A85" s="144">
        <v>45884</v>
      </c>
      <c r="B85" s="128"/>
      <c r="C85" s="128"/>
      <c r="D85" s="145"/>
      <c r="E85" s="145"/>
      <c r="F85" s="149">
        <v>82</v>
      </c>
      <c r="G85" s="149">
        <f t="shared" si="3"/>
        <v>38</v>
      </c>
      <c r="H85" s="160">
        <v>1.393E-2</v>
      </c>
      <c r="I85" s="160">
        <f t="shared" si="5"/>
        <v>0.56575999999999993</v>
      </c>
      <c r="J85" s="8">
        <f>I85</f>
        <v>0.56575999999999993</v>
      </c>
      <c r="N85" s="147"/>
      <c r="P85" s="148">
        <v>82</v>
      </c>
      <c r="Q85" s="148">
        <v>82</v>
      </c>
      <c r="R85" s="150">
        <f t="shared" si="4"/>
        <v>0.46647698870909998</v>
      </c>
      <c r="S85" s="150">
        <f>'No1'!H89</f>
        <v>0.46647698870909998</v>
      </c>
      <c r="T85" s="145"/>
    </row>
    <row r="86" spans="1:20" ht="30" customHeight="1" x14ac:dyDescent="0.25">
      <c r="A86" s="144">
        <v>45885</v>
      </c>
      <c r="B86" s="128"/>
      <c r="C86" s="128"/>
      <c r="D86" s="145"/>
      <c r="E86" s="145"/>
      <c r="F86" s="149">
        <v>83</v>
      </c>
      <c r="G86" s="149">
        <f t="shared" si="3"/>
        <v>37</v>
      </c>
      <c r="H86" s="160">
        <v>1.393E-2</v>
      </c>
      <c r="I86" s="160">
        <f t="shared" si="5"/>
        <v>0.57968999999999993</v>
      </c>
      <c r="N86" s="147"/>
      <c r="P86" s="148">
        <v>83</v>
      </c>
      <c r="Q86" s="148">
        <v>83</v>
      </c>
      <c r="R86" s="150">
        <f t="shared" si="4"/>
        <v>0.46647698870909998</v>
      </c>
      <c r="S86" s="150">
        <f>'No1'!H90</f>
        <v>0.46647698870909998</v>
      </c>
      <c r="T86" s="145"/>
    </row>
    <row r="87" spans="1:20" ht="30" customHeight="1" x14ac:dyDescent="0.25">
      <c r="A87" s="144">
        <v>45886</v>
      </c>
      <c r="B87" s="128"/>
      <c r="C87" s="128"/>
      <c r="D87" s="145"/>
      <c r="E87" s="145"/>
      <c r="F87" s="149">
        <v>84</v>
      </c>
      <c r="G87" s="149">
        <f t="shared" si="3"/>
        <v>36</v>
      </c>
      <c r="H87" s="160">
        <v>1.393E-2</v>
      </c>
      <c r="I87" s="160">
        <f t="shared" si="5"/>
        <v>0.59361999999999993</v>
      </c>
      <c r="N87" s="147"/>
      <c r="P87" s="148">
        <v>84</v>
      </c>
      <c r="Q87" s="148">
        <v>84</v>
      </c>
      <c r="R87" s="150">
        <f t="shared" si="4"/>
        <v>0.46647698870909998</v>
      </c>
      <c r="S87" s="150">
        <f>'No1'!H91</f>
        <v>0.46647698870909998</v>
      </c>
      <c r="T87" s="145"/>
    </row>
    <row r="88" spans="1:20" ht="30" customHeight="1" x14ac:dyDescent="0.25">
      <c r="A88" s="144">
        <v>45887</v>
      </c>
      <c r="B88" s="128"/>
      <c r="C88" s="128"/>
      <c r="D88" s="145"/>
      <c r="E88" s="145"/>
      <c r="F88" s="149">
        <v>85</v>
      </c>
      <c r="G88" s="149">
        <f t="shared" si="3"/>
        <v>35</v>
      </c>
      <c r="H88" s="160">
        <v>1.393E-2</v>
      </c>
      <c r="I88" s="160">
        <f t="shared" si="5"/>
        <v>0.60754999999999992</v>
      </c>
      <c r="N88" s="147"/>
      <c r="P88" s="148">
        <v>85</v>
      </c>
      <c r="Q88" s="148">
        <v>85</v>
      </c>
      <c r="R88" s="150">
        <f t="shared" si="4"/>
        <v>0.46647698870909998</v>
      </c>
      <c r="S88" s="150">
        <f>'No1'!H92</f>
        <v>0.46647698870909998</v>
      </c>
      <c r="T88" s="145"/>
    </row>
    <row r="89" spans="1:20" ht="30" customHeight="1" x14ac:dyDescent="0.25">
      <c r="A89" s="144">
        <v>45888</v>
      </c>
      <c r="B89" s="128"/>
      <c r="C89" s="128"/>
      <c r="D89" s="145"/>
      <c r="E89" s="145"/>
      <c r="F89" s="149">
        <v>86</v>
      </c>
      <c r="G89" s="149">
        <f t="shared" si="3"/>
        <v>34</v>
      </c>
      <c r="H89" s="160">
        <v>1.393E-2</v>
      </c>
      <c r="I89" s="160">
        <f t="shared" si="5"/>
        <v>0.62147999999999992</v>
      </c>
      <c r="N89" s="147"/>
      <c r="P89" s="148">
        <v>86</v>
      </c>
      <c r="Q89" s="148">
        <v>86</v>
      </c>
      <c r="R89" s="150">
        <f t="shared" si="4"/>
        <v>0.46647698870909998</v>
      </c>
      <c r="S89" s="150">
        <f>'No1'!H93</f>
        <v>0.46647698870909998</v>
      </c>
      <c r="T89" s="145"/>
    </row>
    <row r="90" spans="1:20" ht="30" customHeight="1" x14ac:dyDescent="0.25">
      <c r="A90" s="144">
        <v>45889</v>
      </c>
      <c r="B90" s="128"/>
      <c r="C90" s="128"/>
      <c r="D90" s="145"/>
      <c r="E90" s="145"/>
      <c r="F90" s="149">
        <v>87</v>
      </c>
      <c r="G90" s="149">
        <f t="shared" si="3"/>
        <v>33</v>
      </c>
      <c r="H90" s="160">
        <v>1.393E-2</v>
      </c>
      <c r="I90" s="160">
        <f t="shared" si="5"/>
        <v>0.63540999999999992</v>
      </c>
      <c r="N90" s="147"/>
      <c r="P90" s="148">
        <v>87</v>
      </c>
      <c r="Q90" s="148">
        <v>87</v>
      </c>
      <c r="R90" s="150">
        <f t="shared" si="4"/>
        <v>0.46647698870909998</v>
      </c>
      <c r="S90" s="150">
        <f>'No1'!H94</f>
        <v>0.46647698870909998</v>
      </c>
      <c r="T90" s="145"/>
    </row>
    <row r="91" spans="1:20" ht="30" customHeight="1" x14ac:dyDescent="0.25">
      <c r="A91" s="144">
        <v>45890</v>
      </c>
      <c r="B91" s="128"/>
      <c r="C91" s="128"/>
      <c r="D91" s="145"/>
      <c r="E91" s="145"/>
      <c r="F91" s="149">
        <v>88</v>
      </c>
      <c r="G91" s="149">
        <f t="shared" si="3"/>
        <v>32</v>
      </c>
      <c r="H91" s="160">
        <v>1.393E-2</v>
      </c>
      <c r="I91" s="160">
        <f t="shared" si="5"/>
        <v>0.64933999999999992</v>
      </c>
      <c r="N91" s="147"/>
      <c r="P91" s="148">
        <v>88</v>
      </c>
      <c r="Q91" s="148">
        <v>88</v>
      </c>
      <c r="R91" s="150">
        <f t="shared" si="4"/>
        <v>0.46647698870909998</v>
      </c>
      <c r="S91" s="150">
        <f>'No1'!H95</f>
        <v>0.46647698870909998</v>
      </c>
      <c r="T91" s="145"/>
    </row>
    <row r="92" spans="1:20" ht="30" customHeight="1" x14ac:dyDescent="0.25">
      <c r="A92" s="144">
        <v>45891</v>
      </c>
      <c r="B92" s="128"/>
      <c r="C92" s="128"/>
      <c r="D92" s="145"/>
      <c r="E92" s="145"/>
      <c r="F92" s="149">
        <v>89</v>
      </c>
      <c r="G92" s="149">
        <f t="shared" si="3"/>
        <v>31</v>
      </c>
      <c r="H92" s="160">
        <v>1.393E-2</v>
      </c>
      <c r="I92" s="160">
        <f t="shared" si="5"/>
        <v>0.66326999999999992</v>
      </c>
      <c r="N92" s="147"/>
      <c r="P92" s="148">
        <v>89</v>
      </c>
      <c r="Q92" s="148">
        <v>89</v>
      </c>
      <c r="R92" s="150">
        <f t="shared" si="4"/>
        <v>0.46647698870909998</v>
      </c>
      <c r="S92" s="150">
        <f>'No1'!H96</f>
        <v>0.46647698870909998</v>
      </c>
      <c r="T92" s="145"/>
    </row>
    <row r="93" spans="1:20" ht="30" customHeight="1" x14ac:dyDescent="0.25">
      <c r="A93" s="144">
        <v>45892</v>
      </c>
      <c r="B93" s="128"/>
      <c r="C93" s="128"/>
      <c r="D93" s="145"/>
      <c r="E93" s="145"/>
      <c r="F93" s="149">
        <v>90</v>
      </c>
      <c r="G93" s="149">
        <f t="shared" si="3"/>
        <v>30</v>
      </c>
      <c r="H93" s="160">
        <v>1.393E-2</v>
      </c>
      <c r="I93" s="160">
        <f t="shared" si="5"/>
        <v>0.67719999999999991</v>
      </c>
      <c r="N93" s="147"/>
      <c r="P93" s="148">
        <v>90</v>
      </c>
      <c r="Q93" s="148">
        <v>90</v>
      </c>
      <c r="R93" s="150">
        <f t="shared" si="4"/>
        <v>0.46647698870909998</v>
      </c>
      <c r="S93" s="150">
        <f>'No1'!H97</f>
        <v>0.46647698870909998</v>
      </c>
      <c r="T93" s="145"/>
    </row>
    <row r="94" spans="1:20" ht="30" customHeight="1" x14ac:dyDescent="0.25">
      <c r="A94" s="144">
        <v>45893</v>
      </c>
      <c r="B94" s="128"/>
      <c r="C94" s="128"/>
      <c r="D94" s="145"/>
      <c r="E94" s="145"/>
      <c r="F94" s="149">
        <v>91</v>
      </c>
      <c r="G94" s="149">
        <f t="shared" si="3"/>
        <v>29</v>
      </c>
      <c r="H94" s="160">
        <v>1.4619999999999999E-2</v>
      </c>
      <c r="I94" s="160">
        <f t="shared" si="5"/>
        <v>0.69181999999999988</v>
      </c>
      <c r="N94" s="147"/>
      <c r="P94" s="148">
        <v>91</v>
      </c>
      <c r="Q94" s="148">
        <v>91</v>
      </c>
      <c r="R94" s="150">
        <f t="shared" si="4"/>
        <v>0.46647698870909998</v>
      </c>
      <c r="S94" s="150">
        <f>'No1'!H98</f>
        <v>0.46647698870909998</v>
      </c>
      <c r="T94" s="145"/>
    </row>
    <row r="95" spans="1:20" ht="30" customHeight="1" x14ac:dyDescent="0.25">
      <c r="A95" s="144">
        <v>45894</v>
      </c>
      <c r="B95" s="128"/>
      <c r="C95" s="128"/>
      <c r="D95" s="145"/>
      <c r="E95" s="145"/>
      <c r="F95" s="149">
        <v>92</v>
      </c>
      <c r="G95" s="149">
        <f t="shared" si="3"/>
        <v>28</v>
      </c>
      <c r="H95" s="160">
        <v>1.4619999999999999E-2</v>
      </c>
      <c r="I95" s="160">
        <f t="shared" si="5"/>
        <v>0.70643999999999985</v>
      </c>
      <c r="K95" s="8">
        <f>I95</f>
        <v>0.70643999999999985</v>
      </c>
      <c r="N95" s="147"/>
      <c r="P95" s="148">
        <v>92</v>
      </c>
      <c r="Q95" s="148">
        <v>92</v>
      </c>
      <c r="R95" s="150">
        <f t="shared" si="4"/>
        <v>0.46647698870909998</v>
      </c>
      <c r="S95" s="150">
        <f>'No1'!H99</f>
        <v>0.46647698870909998</v>
      </c>
      <c r="T95" s="145"/>
    </row>
    <row r="96" spans="1:20" ht="30" customHeight="1" x14ac:dyDescent="0.25">
      <c r="A96" s="144">
        <v>45895</v>
      </c>
      <c r="B96" s="128"/>
      <c r="C96" s="128"/>
      <c r="D96" s="145"/>
      <c r="E96" s="145"/>
      <c r="F96" s="149">
        <v>93</v>
      </c>
      <c r="G96" s="149">
        <f t="shared" si="3"/>
        <v>27</v>
      </c>
      <c r="H96" s="160">
        <v>1.4619999999999999E-2</v>
      </c>
      <c r="I96" s="160">
        <f t="shared" si="5"/>
        <v>0.72105999999999981</v>
      </c>
      <c r="N96" s="147"/>
      <c r="P96" s="148">
        <v>93</v>
      </c>
      <c r="Q96" s="148">
        <v>93</v>
      </c>
      <c r="R96" s="150">
        <f t="shared" si="4"/>
        <v>0.46647698870909998</v>
      </c>
      <c r="S96" s="150">
        <f>'No1'!H100</f>
        <v>0.46647698870909998</v>
      </c>
      <c r="T96" s="145"/>
    </row>
    <row r="97" spans="1:20" ht="30" customHeight="1" x14ac:dyDescent="0.25">
      <c r="A97" s="144">
        <v>45896</v>
      </c>
      <c r="B97" s="128"/>
      <c r="C97" s="128"/>
      <c r="D97" s="145"/>
      <c r="E97" s="145"/>
      <c r="F97" s="149">
        <v>94</v>
      </c>
      <c r="G97" s="149">
        <f t="shared" si="3"/>
        <v>26</v>
      </c>
      <c r="H97" s="160">
        <v>1.4619999999999999E-2</v>
      </c>
      <c r="I97" s="160">
        <f t="shared" si="5"/>
        <v>0.73567999999999978</v>
      </c>
      <c r="N97" s="147"/>
      <c r="P97" s="148">
        <v>94</v>
      </c>
      <c r="Q97" s="148">
        <v>94</v>
      </c>
      <c r="R97" s="150">
        <f t="shared" si="4"/>
        <v>0.46647698870909998</v>
      </c>
      <c r="S97" s="150">
        <f>'No1'!H101</f>
        <v>0.46647698870909998</v>
      </c>
      <c r="T97" s="145"/>
    </row>
    <row r="98" spans="1:20" ht="30" customHeight="1" x14ac:dyDescent="0.25">
      <c r="A98" s="144">
        <v>45897</v>
      </c>
      <c r="B98" s="128"/>
      <c r="C98" s="128"/>
      <c r="D98" s="145"/>
      <c r="E98" s="145"/>
      <c r="F98" s="149">
        <v>95</v>
      </c>
      <c r="G98" s="149">
        <f t="shared" si="3"/>
        <v>25</v>
      </c>
      <c r="H98" s="160">
        <v>1.4619999999999999E-2</v>
      </c>
      <c r="I98" s="160">
        <f t="shared" si="5"/>
        <v>0.75029999999999974</v>
      </c>
      <c r="N98" s="147"/>
      <c r="P98" s="148">
        <v>95</v>
      </c>
      <c r="Q98" s="148">
        <v>95</v>
      </c>
      <c r="R98" s="150">
        <f t="shared" si="4"/>
        <v>0.46647698870909998</v>
      </c>
      <c r="S98" s="150">
        <f>'No1'!H102</f>
        <v>0.46647698870909998</v>
      </c>
      <c r="T98" s="145"/>
    </row>
    <row r="99" spans="1:20" ht="30" customHeight="1" x14ac:dyDescent="0.25">
      <c r="A99" s="144">
        <v>45898</v>
      </c>
      <c r="B99" s="128"/>
      <c r="C99" s="128"/>
      <c r="D99" s="145"/>
      <c r="E99" s="145"/>
      <c r="F99" s="149">
        <v>96</v>
      </c>
      <c r="G99" s="149">
        <f t="shared" si="3"/>
        <v>24</v>
      </c>
      <c r="H99" s="160">
        <v>1.4619999999999999E-2</v>
      </c>
      <c r="I99" s="160">
        <f t="shared" si="5"/>
        <v>0.76491999999999971</v>
      </c>
      <c r="N99" s="147"/>
      <c r="P99" s="148">
        <v>96</v>
      </c>
      <c r="Q99" s="148">
        <v>96</v>
      </c>
      <c r="R99" s="150">
        <f t="shared" si="4"/>
        <v>0.46647698870909998</v>
      </c>
      <c r="S99" s="150">
        <f>'No1'!H103</f>
        <v>0.46647698870909998</v>
      </c>
      <c r="T99" s="145"/>
    </row>
    <row r="100" spans="1:20" ht="30" customHeight="1" x14ac:dyDescent="0.25">
      <c r="A100" s="144">
        <v>45899</v>
      </c>
      <c r="B100" s="128"/>
      <c r="C100" s="128"/>
      <c r="D100" s="145"/>
      <c r="E100" s="145"/>
      <c r="F100" s="149">
        <v>97</v>
      </c>
      <c r="G100" s="149">
        <f t="shared" si="3"/>
        <v>23</v>
      </c>
      <c r="H100" s="160">
        <v>1.4619999999999999E-2</v>
      </c>
      <c r="I100" s="160">
        <f t="shared" si="5"/>
        <v>0.77953999999999968</v>
      </c>
      <c r="J100" s="8"/>
      <c r="N100" s="147"/>
      <c r="P100" s="148">
        <v>97</v>
      </c>
      <c r="Q100" s="148">
        <v>97</v>
      </c>
      <c r="R100" s="150">
        <f t="shared" si="4"/>
        <v>0.46647698870909998</v>
      </c>
      <c r="S100" s="150">
        <f>'No1'!H104</f>
        <v>0.46647698870909998</v>
      </c>
      <c r="T100" s="145"/>
    </row>
    <row r="101" spans="1:20" ht="30" customHeight="1" x14ac:dyDescent="0.25">
      <c r="A101" s="144">
        <v>45900</v>
      </c>
      <c r="B101" s="128"/>
      <c r="C101" s="128"/>
      <c r="D101" s="145"/>
      <c r="E101" s="145"/>
      <c r="F101" s="149">
        <v>98</v>
      </c>
      <c r="G101" s="149">
        <f t="shared" si="3"/>
        <v>22</v>
      </c>
      <c r="H101" s="160">
        <v>1.4619999999999999E-2</v>
      </c>
      <c r="I101" s="160">
        <f t="shared" si="5"/>
        <v>0.79415999999999964</v>
      </c>
      <c r="J101" s="8">
        <f>I101</f>
        <v>0.79415999999999964</v>
      </c>
      <c r="N101" s="147"/>
      <c r="P101" s="148">
        <v>98</v>
      </c>
      <c r="Q101" s="148">
        <v>98</v>
      </c>
      <c r="R101" s="150">
        <f t="shared" si="4"/>
        <v>0.46647698870909998</v>
      </c>
      <c r="S101" s="150">
        <f>'No1'!H105</f>
        <v>0.46647698870909998</v>
      </c>
      <c r="T101" s="145"/>
    </row>
    <row r="102" spans="1:20" ht="30" customHeight="1" x14ac:dyDescent="0.25">
      <c r="A102" s="144">
        <v>45901</v>
      </c>
      <c r="B102" s="128"/>
      <c r="C102" s="128"/>
      <c r="D102" s="145"/>
      <c r="E102" s="145"/>
      <c r="F102" s="149">
        <v>99</v>
      </c>
      <c r="G102" s="149">
        <f t="shared" si="3"/>
        <v>21</v>
      </c>
      <c r="H102" s="160">
        <v>1.4619999999999999E-2</v>
      </c>
      <c r="I102" s="160">
        <f t="shared" si="5"/>
        <v>0.80877999999999961</v>
      </c>
      <c r="N102" s="147"/>
      <c r="P102" s="148">
        <v>99</v>
      </c>
      <c r="Q102" s="148">
        <v>99</v>
      </c>
      <c r="R102" s="150">
        <f t="shared" si="4"/>
        <v>0.46647698870909998</v>
      </c>
      <c r="S102" s="150">
        <f>'No1'!H106</f>
        <v>0.46647698870909998</v>
      </c>
      <c r="T102" s="145"/>
    </row>
    <row r="103" spans="1:20" ht="30" customHeight="1" x14ac:dyDescent="0.25">
      <c r="A103" s="144">
        <v>45902</v>
      </c>
      <c r="B103" s="128"/>
      <c r="C103" s="128"/>
      <c r="D103" s="145"/>
      <c r="E103" s="145"/>
      <c r="F103" s="149">
        <v>100</v>
      </c>
      <c r="G103" s="149">
        <f t="shared" si="3"/>
        <v>20</v>
      </c>
      <c r="H103" s="160">
        <v>1.4619999999999999E-2</v>
      </c>
      <c r="I103" s="160">
        <f t="shared" si="5"/>
        <v>0.82339999999999958</v>
      </c>
      <c r="N103" s="147"/>
      <c r="P103" s="148">
        <v>100</v>
      </c>
      <c r="Q103" s="148">
        <v>100</v>
      </c>
      <c r="R103" s="150">
        <f t="shared" si="4"/>
        <v>0.46647698870909998</v>
      </c>
      <c r="S103" s="150">
        <f>'No1'!H107</f>
        <v>0.46647698870909998</v>
      </c>
      <c r="T103" s="145"/>
    </row>
    <row r="104" spans="1:20" ht="30" customHeight="1" x14ac:dyDescent="0.25">
      <c r="A104" s="144">
        <v>45903</v>
      </c>
      <c r="B104" s="128"/>
      <c r="C104" s="128"/>
      <c r="D104" s="145"/>
      <c r="E104" s="145"/>
      <c r="F104" s="149">
        <v>101</v>
      </c>
      <c r="G104" s="149">
        <f t="shared" si="3"/>
        <v>19</v>
      </c>
      <c r="H104" s="160">
        <v>1.1380000000000001E-2</v>
      </c>
      <c r="I104" s="160">
        <f t="shared" si="5"/>
        <v>0.83477999999999963</v>
      </c>
      <c r="N104" s="147"/>
      <c r="P104" s="148">
        <v>101</v>
      </c>
      <c r="Q104" s="148">
        <v>101</v>
      </c>
      <c r="R104" s="150">
        <f t="shared" si="4"/>
        <v>0.46647698870909998</v>
      </c>
      <c r="S104" s="150">
        <f>'No1'!H108</f>
        <v>0.46647698870909998</v>
      </c>
      <c r="T104" s="145"/>
    </row>
    <row r="105" spans="1:20" ht="30" customHeight="1" x14ac:dyDescent="0.25">
      <c r="A105" s="144">
        <v>45904</v>
      </c>
      <c r="B105" s="128"/>
      <c r="C105" s="128"/>
      <c r="D105" s="145"/>
      <c r="E105" s="145"/>
      <c r="F105" s="149">
        <v>102</v>
      </c>
      <c r="G105" s="149">
        <f t="shared" si="3"/>
        <v>18</v>
      </c>
      <c r="H105" s="160">
        <v>1.1380000000000001E-2</v>
      </c>
      <c r="I105" s="160">
        <f t="shared" si="5"/>
        <v>0.84615999999999958</v>
      </c>
      <c r="N105" s="147"/>
      <c r="P105" s="148">
        <v>102</v>
      </c>
      <c r="Q105" s="148">
        <v>102</v>
      </c>
      <c r="R105" s="150">
        <f t="shared" si="4"/>
        <v>0.46647698870909998</v>
      </c>
      <c r="S105" s="150">
        <f>'No1'!H109</f>
        <v>0.46647698870909998</v>
      </c>
      <c r="T105" s="145"/>
    </row>
    <row r="106" spans="1:20" ht="30" customHeight="1" x14ac:dyDescent="0.25">
      <c r="A106" s="144">
        <v>45905</v>
      </c>
      <c r="B106" s="128"/>
      <c r="C106" s="128"/>
      <c r="D106" s="145"/>
      <c r="E106" s="145"/>
      <c r="F106" s="149">
        <v>103</v>
      </c>
      <c r="G106" s="149">
        <f t="shared" si="3"/>
        <v>17</v>
      </c>
      <c r="H106" s="160">
        <v>1.1380000000000001E-2</v>
      </c>
      <c r="I106" s="160">
        <f t="shared" si="5"/>
        <v>0.85753999999999952</v>
      </c>
      <c r="N106" s="147"/>
      <c r="P106" s="148">
        <v>103</v>
      </c>
      <c r="Q106" s="148">
        <v>103</v>
      </c>
      <c r="R106" s="150">
        <f t="shared" si="4"/>
        <v>0.46647698870909998</v>
      </c>
      <c r="S106" s="150">
        <f>'No1'!H110</f>
        <v>0.46647698870909998</v>
      </c>
      <c r="T106" s="145"/>
    </row>
    <row r="107" spans="1:20" ht="30" customHeight="1" x14ac:dyDescent="0.25">
      <c r="A107" s="144">
        <v>45906</v>
      </c>
      <c r="B107" s="128"/>
      <c r="C107" s="128"/>
      <c r="D107" s="145"/>
      <c r="E107" s="145"/>
      <c r="F107" s="149">
        <v>104</v>
      </c>
      <c r="G107" s="149">
        <f t="shared" si="3"/>
        <v>16</v>
      </c>
      <c r="H107" s="160">
        <v>1.1380000000000001E-2</v>
      </c>
      <c r="I107" s="160">
        <f t="shared" si="5"/>
        <v>0.86891999999999947</v>
      </c>
      <c r="N107" s="147"/>
      <c r="P107" s="148">
        <v>104</v>
      </c>
      <c r="Q107" s="148">
        <v>104</v>
      </c>
      <c r="R107" s="150">
        <f t="shared" si="4"/>
        <v>0.46647698870909998</v>
      </c>
      <c r="S107" s="150">
        <f>'No1'!H111</f>
        <v>0.46647698870909998</v>
      </c>
      <c r="T107" s="145"/>
    </row>
    <row r="108" spans="1:20" ht="30" customHeight="1" x14ac:dyDescent="0.25">
      <c r="A108" s="144">
        <v>45907</v>
      </c>
      <c r="B108" s="128"/>
      <c r="C108" s="128"/>
      <c r="D108" s="145"/>
      <c r="E108" s="145"/>
      <c r="F108" s="149">
        <v>105</v>
      </c>
      <c r="G108" s="149">
        <f t="shared" si="3"/>
        <v>15</v>
      </c>
      <c r="H108" s="160">
        <v>1.1380000000000001E-2</v>
      </c>
      <c r="I108" s="160">
        <f t="shared" si="5"/>
        <v>0.88029999999999942</v>
      </c>
      <c r="N108" s="147"/>
      <c r="P108" s="148">
        <v>105</v>
      </c>
      <c r="Q108" s="148">
        <v>105</v>
      </c>
      <c r="R108" s="150">
        <f t="shared" si="4"/>
        <v>0.46647698870909998</v>
      </c>
      <c r="S108" s="150">
        <f>'No1'!H112</f>
        <v>0.46647698870909998</v>
      </c>
      <c r="T108" s="145"/>
    </row>
    <row r="109" spans="1:20" ht="30" customHeight="1" x14ac:dyDescent="0.25">
      <c r="A109" s="144">
        <v>45908</v>
      </c>
      <c r="B109" s="128"/>
      <c r="C109" s="128"/>
      <c r="D109" s="145"/>
      <c r="E109" s="145"/>
      <c r="F109" s="149">
        <v>106</v>
      </c>
      <c r="G109" s="149">
        <f t="shared" si="3"/>
        <v>14</v>
      </c>
      <c r="H109" s="160">
        <v>1.1380000000000001E-2</v>
      </c>
      <c r="I109" s="160">
        <f t="shared" si="5"/>
        <v>0.89167999999999936</v>
      </c>
      <c r="N109" s="147"/>
      <c r="P109" s="148">
        <v>106</v>
      </c>
      <c r="Q109" s="148">
        <v>106</v>
      </c>
      <c r="R109" s="150">
        <f t="shared" si="4"/>
        <v>0.46647698870909998</v>
      </c>
      <c r="S109" s="150">
        <f>'No1'!H113</f>
        <v>0.46647698870909998</v>
      </c>
      <c r="T109" s="145"/>
    </row>
    <row r="110" spans="1:20" ht="30" customHeight="1" x14ac:dyDescent="0.25">
      <c r="A110" s="144">
        <v>45909</v>
      </c>
      <c r="B110" s="128"/>
      <c r="C110" s="128"/>
      <c r="D110" s="145"/>
      <c r="E110" s="145"/>
      <c r="F110" s="149">
        <v>107</v>
      </c>
      <c r="G110" s="149">
        <f t="shared" si="3"/>
        <v>13</v>
      </c>
      <c r="H110" s="160">
        <v>1.1380000000000001E-2</v>
      </c>
      <c r="I110" s="160">
        <f t="shared" si="5"/>
        <v>0.90305999999999931</v>
      </c>
      <c r="N110" s="147"/>
      <c r="P110" s="148">
        <v>107</v>
      </c>
      <c r="Q110" s="148">
        <v>107</v>
      </c>
      <c r="R110" s="150">
        <f t="shared" si="4"/>
        <v>0.46647698870909998</v>
      </c>
      <c r="S110" s="150">
        <f>'No1'!H114</f>
        <v>0.46647698870909998</v>
      </c>
      <c r="T110" s="145"/>
    </row>
    <row r="111" spans="1:20" ht="30" customHeight="1" x14ac:dyDescent="0.25">
      <c r="A111" s="144">
        <v>45910</v>
      </c>
      <c r="B111" s="128"/>
      <c r="C111" s="128"/>
      <c r="D111" s="145"/>
      <c r="E111" s="145"/>
      <c r="F111" s="149">
        <v>108</v>
      </c>
      <c r="G111" s="149">
        <f t="shared" si="3"/>
        <v>12</v>
      </c>
      <c r="H111" s="160">
        <v>1.1380000000000001E-2</v>
      </c>
      <c r="I111" s="160">
        <f t="shared" si="5"/>
        <v>0.91443999999999925</v>
      </c>
      <c r="K111" s="8">
        <f>I111</f>
        <v>0.91443999999999925</v>
      </c>
      <c r="N111" s="147"/>
      <c r="P111" s="148">
        <v>108</v>
      </c>
      <c r="Q111" s="148">
        <v>108</v>
      </c>
      <c r="R111" s="150">
        <f t="shared" si="4"/>
        <v>0.46647698870909998</v>
      </c>
      <c r="S111" s="150">
        <f>'No1'!H115</f>
        <v>0.46647698870909998</v>
      </c>
      <c r="T111" s="145"/>
    </row>
    <row r="112" spans="1:20" ht="30" customHeight="1" x14ac:dyDescent="0.25">
      <c r="A112" s="144">
        <v>45911</v>
      </c>
      <c r="B112" s="128"/>
      <c r="C112" s="128"/>
      <c r="D112" s="145"/>
      <c r="E112" s="145"/>
      <c r="F112" s="149">
        <v>109</v>
      </c>
      <c r="G112" s="149">
        <f t="shared" si="3"/>
        <v>11</v>
      </c>
      <c r="H112" s="160">
        <v>1.1380000000000001E-2</v>
      </c>
      <c r="I112" s="160">
        <f t="shared" si="5"/>
        <v>0.9258199999999992</v>
      </c>
      <c r="N112" s="147"/>
      <c r="P112" s="148">
        <v>109</v>
      </c>
      <c r="Q112" s="148">
        <v>109</v>
      </c>
      <c r="R112" s="150">
        <f t="shared" si="4"/>
        <v>0.46647698870909998</v>
      </c>
      <c r="S112" s="150">
        <f>'No1'!H116</f>
        <v>0.46647698870909998</v>
      </c>
      <c r="T112" s="145"/>
    </row>
    <row r="113" spans="1:20" ht="30" customHeight="1" x14ac:dyDescent="0.25">
      <c r="A113" s="144">
        <v>45912</v>
      </c>
      <c r="B113" s="128"/>
      <c r="C113" s="128"/>
      <c r="D113" s="145"/>
      <c r="E113" s="145"/>
      <c r="F113" s="149">
        <v>110</v>
      </c>
      <c r="G113" s="149">
        <f t="shared" si="3"/>
        <v>10</v>
      </c>
      <c r="H113" s="160">
        <v>1.1380000000000001E-2</v>
      </c>
      <c r="I113" s="160">
        <f t="shared" si="5"/>
        <v>0.93719999999999914</v>
      </c>
      <c r="N113" s="147"/>
      <c r="P113" s="148">
        <v>110</v>
      </c>
      <c r="Q113" s="148">
        <v>110</v>
      </c>
      <c r="R113" s="150">
        <f t="shared" si="4"/>
        <v>0.46647698870909998</v>
      </c>
      <c r="S113" s="150">
        <f>'No1'!H117</f>
        <v>0.46647698870909998</v>
      </c>
      <c r="T113" s="145"/>
    </row>
    <row r="114" spans="1:20" ht="30" customHeight="1" x14ac:dyDescent="0.25">
      <c r="A114" s="144">
        <v>45913</v>
      </c>
      <c r="B114" s="128"/>
      <c r="C114" s="128"/>
      <c r="D114" s="145"/>
      <c r="E114" s="145"/>
      <c r="F114" s="149">
        <v>111</v>
      </c>
      <c r="G114" s="149">
        <f t="shared" si="3"/>
        <v>9</v>
      </c>
      <c r="H114" s="160">
        <v>6.28E-3</v>
      </c>
      <c r="I114" s="160">
        <f t="shared" si="5"/>
        <v>0.9434799999999991</v>
      </c>
      <c r="N114" s="147"/>
      <c r="P114" s="148">
        <v>111</v>
      </c>
      <c r="Q114" s="148">
        <v>111</v>
      </c>
      <c r="R114" s="150">
        <f t="shared" si="4"/>
        <v>0.46647698870909998</v>
      </c>
      <c r="S114" s="150">
        <f>'No1'!H118</f>
        <v>0.46647698870909998</v>
      </c>
      <c r="T114" s="145"/>
    </row>
    <row r="115" spans="1:20" ht="30" customHeight="1" x14ac:dyDescent="0.25">
      <c r="A115" s="144">
        <v>45914</v>
      </c>
      <c r="B115" s="128"/>
      <c r="C115" s="128"/>
      <c r="D115" s="145"/>
      <c r="E115" s="145"/>
      <c r="F115" s="149">
        <v>112</v>
      </c>
      <c r="G115" s="149">
        <f t="shared" si="3"/>
        <v>8</v>
      </c>
      <c r="H115" s="160">
        <v>6.28E-3</v>
      </c>
      <c r="I115" s="160">
        <f t="shared" si="5"/>
        <v>0.94975999999999905</v>
      </c>
      <c r="N115" s="147"/>
      <c r="P115" s="148">
        <v>112</v>
      </c>
      <c r="Q115" s="148">
        <v>112</v>
      </c>
      <c r="R115" s="150">
        <f t="shared" si="4"/>
        <v>0.46647698870909998</v>
      </c>
      <c r="S115" s="150">
        <f>'No1'!H119</f>
        <v>0.46647698870909998</v>
      </c>
      <c r="T115" s="145"/>
    </row>
    <row r="116" spans="1:20" ht="30" customHeight="1" x14ac:dyDescent="0.25">
      <c r="A116" s="144">
        <v>45915</v>
      </c>
      <c r="B116" s="128"/>
      <c r="C116" s="128"/>
      <c r="D116" s="145"/>
      <c r="E116" s="145"/>
      <c r="F116" s="149">
        <v>113</v>
      </c>
      <c r="G116" s="149">
        <f t="shared" si="3"/>
        <v>7</v>
      </c>
      <c r="H116" s="160">
        <v>6.28E-3</v>
      </c>
      <c r="I116" s="160">
        <f t="shared" si="5"/>
        <v>0.956039999999999</v>
      </c>
      <c r="J116" s="8">
        <f>I116</f>
        <v>0.956039999999999</v>
      </c>
      <c r="N116" s="147"/>
      <c r="P116" s="148">
        <v>113</v>
      </c>
      <c r="Q116" s="148">
        <v>113</v>
      </c>
      <c r="R116" s="150">
        <f t="shared" si="4"/>
        <v>0.46647698870909998</v>
      </c>
      <c r="S116" s="150">
        <f>'No1'!H120</f>
        <v>0.46647698870909998</v>
      </c>
      <c r="T116" s="145"/>
    </row>
    <row r="117" spans="1:20" ht="30" customHeight="1" x14ac:dyDescent="0.25">
      <c r="A117" s="144">
        <v>45916</v>
      </c>
      <c r="B117" s="128"/>
      <c r="C117" s="128"/>
      <c r="D117" s="145"/>
      <c r="E117" s="145"/>
      <c r="F117" s="149">
        <v>114</v>
      </c>
      <c r="G117" s="149">
        <f t="shared" si="3"/>
        <v>6</v>
      </c>
      <c r="H117" s="160">
        <v>6.28E-3</v>
      </c>
      <c r="I117" s="160">
        <f t="shared" si="5"/>
        <v>0.96231999999999895</v>
      </c>
      <c r="N117" s="147"/>
      <c r="P117" s="148">
        <v>114</v>
      </c>
      <c r="Q117" s="148">
        <v>114</v>
      </c>
      <c r="R117" s="150">
        <f t="shared" si="4"/>
        <v>0.46647698870909998</v>
      </c>
      <c r="S117" s="150">
        <f>'No1'!H121</f>
        <v>0.46647698870909998</v>
      </c>
      <c r="T117" s="145"/>
    </row>
    <row r="118" spans="1:20" ht="30" customHeight="1" x14ac:dyDescent="0.25">
      <c r="A118" s="144">
        <v>45917</v>
      </c>
      <c r="B118" s="128"/>
      <c r="C118" s="128"/>
      <c r="D118" s="145"/>
      <c r="E118" s="145"/>
      <c r="F118" s="149">
        <v>115</v>
      </c>
      <c r="G118" s="149">
        <f t="shared" si="3"/>
        <v>5</v>
      </c>
      <c r="H118" s="160">
        <v>6.28E-3</v>
      </c>
      <c r="I118" s="160">
        <f t="shared" si="5"/>
        <v>0.96859999999999891</v>
      </c>
      <c r="N118" s="147"/>
      <c r="P118" s="148">
        <v>115</v>
      </c>
      <c r="Q118" s="148">
        <v>115</v>
      </c>
      <c r="R118" s="150">
        <f t="shared" si="4"/>
        <v>0.46647698870909998</v>
      </c>
      <c r="S118" s="150">
        <f>'No1'!H122</f>
        <v>0.46647698870909998</v>
      </c>
      <c r="T118" s="145"/>
    </row>
    <row r="119" spans="1:20" ht="30" customHeight="1" x14ac:dyDescent="0.25">
      <c r="A119" s="144">
        <v>45918</v>
      </c>
      <c r="B119" s="128"/>
      <c r="C119" s="128"/>
      <c r="D119" s="145"/>
      <c r="E119" s="145"/>
      <c r="F119" s="149">
        <v>116</v>
      </c>
      <c r="G119" s="149">
        <f t="shared" si="3"/>
        <v>4</v>
      </c>
      <c r="H119" s="160">
        <v>6.28E-3</v>
      </c>
      <c r="I119" s="160">
        <f t="shared" si="5"/>
        <v>0.97487999999999886</v>
      </c>
      <c r="N119" s="147"/>
      <c r="P119" s="148">
        <v>116</v>
      </c>
      <c r="Q119" s="148">
        <v>116</v>
      </c>
      <c r="R119" s="150">
        <f t="shared" si="4"/>
        <v>0.46647698870909998</v>
      </c>
      <c r="S119" s="150">
        <f>'No1'!H123</f>
        <v>0.46647698870909998</v>
      </c>
      <c r="T119" s="145"/>
    </row>
    <row r="120" spans="1:20" ht="30" customHeight="1" x14ac:dyDescent="0.25">
      <c r="A120" s="144">
        <v>45919</v>
      </c>
      <c r="B120" s="128"/>
      <c r="C120" s="128"/>
      <c r="D120" s="145"/>
      <c r="E120" s="145"/>
      <c r="F120" s="149">
        <v>117</v>
      </c>
      <c r="G120" s="149">
        <f t="shared" si="3"/>
        <v>3</v>
      </c>
      <c r="H120" s="160">
        <v>6.28E-3</v>
      </c>
      <c r="I120" s="160">
        <f t="shared" si="5"/>
        <v>0.98115999999999881</v>
      </c>
      <c r="N120" s="147"/>
      <c r="P120" s="148">
        <v>117</v>
      </c>
      <c r="Q120" s="148">
        <v>117</v>
      </c>
      <c r="R120" s="150">
        <f t="shared" si="4"/>
        <v>0.46647698870909998</v>
      </c>
      <c r="S120" s="150">
        <f>'No1'!H124</f>
        <v>0.46647698870909998</v>
      </c>
      <c r="T120" s="145"/>
    </row>
    <row r="121" spans="1:20" ht="30" customHeight="1" x14ac:dyDescent="0.25">
      <c r="A121" s="144">
        <v>45920</v>
      </c>
      <c r="B121" s="128"/>
      <c r="C121" s="128"/>
      <c r="D121" s="145"/>
      <c r="E121" s="145"/>
      <c r="F121" s="149">
        <v>118</v>
      </c>
      <c r="G121" s="149">
        <f t="shared" si="3"/>
        <v>2</v>
      </c>
      <c r="H121" s="160">
        <v>6.28E-3</v>
      </c>
      <c r="I121" s="160">
        <f t="shared" si="5"/>
        <v>0.98743999999999876</v>
      </c>
      <c r="N121" s="147"/>
      <c r="P121" s="148">
        <v>118</v>
      </c>
      <c r="Q121" s="148">
        <v>118</v>
      </c>
      <c r="R121" s="150">
        <f t="shared" si="4"/>
        <v>0.46647698870909998</v>
      </c>
      <c r="S121" s="150">
        <f>'No1'!H125</f>
        <v>0.46647698870909998</v>
      </c>
      <c r="T121" s="145"/>
    </row>
    <row r="122" spans="1:20" ht="30" customHeight="1" x14ac:dyDescent="0.25">
      <c r="A122" s="144">
        <v>45921</v>
      </c>
      <c r="B122" s="128"/>
      <c r="C122" s="128"/>
      <c r="D122" s="145"/>
      <c r="E122" s="145"/>
      <c r="F122" s="149">
        <v>119</v>
      </c>
      <c r="G122" s="149">
        <f t="shared" si="3"/>
        <v>1</v>
      </c>
      <c r="H122" s="160">
        <v>6.28E-3</v>
      </c>
      <c r="I122" s="160">
        <f t="shared" si="5"/>
        <v>0.99371999999999872</v>
      </c>
      <c r="N122" s="147"/>
      <c r="P122" s="148">
        <v>119</v>
      </c>
      <c r="Q122" s="148">
        <v>119</v>
      </c>
      <c r="R122" s="150">
        <f t="shared" si="4"/>
        <v>0.46647698870909998</v>
      </c>
      <c r="S122" s="150">
        <f>'No1'!H126</f>
        <v>0.46647698870909998</v>
      </c>
      <c r="T122" s="145"/>
    </row>
    <row r="123" spans="1:20" ht="30" customHeight="1" x14ac:dyDescent="0.25">
      <c r="A123" s="144">
        <v>45922</v>
      </c>
      <c r="B123" s="128"/>
      <c r="C123" s="128"/>
      <c r="D123" s="145"/>
      <c r="E123" s="145"/>
      <c r="F123" s="149">
        <v>120</v>
      </c>
      <c r="G123" s="149">
        <f t="shared" si="3"/>
        <v>0</v>
      </c>
      <c r="H123" s="160">
        <v>6.28E-3</v>
      </c>
      <c r="I123" s="160">
        <f t="shared" si="5"/>
        <v>0.99999999999999867</v>
      </c>
      <c r="N123" s="147"/>
      <c r="P123" s="148">
        <v>120</v>
      </c>
      <c r="Q123" s="148">
        <v>120</v>
      </c>
      <c r="R123" s="150">
        <f t="shared" si="4"/>
        <v>0.46647698870909998</v>
      </c>
      <c r="S123" s="150">
        <f>'No1'!H127</f>
        <v>0.46647698870909998</v>
      </c>
      <c r="T123" s="145"/>
    </row>
  </sheetData>
  <mergeCells count="2">
    <mergeCell ref="B3:C3"/>
    <mergeCell ref="H2:I2"/>
  </mergeCells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11"/>
  </sheetPr>
  <dimension ref="A1:R127"/>
  <sheetViews>
    <sheetView workbookViewId="0">
      <pane xSplit="2" ySplit="7" topLeftCell="C8" activePane="bottomRight" state="frozen"/>
      <selection pane="topRight" activeCell="C1" sqref="C1"/>
      <selection pane="bottomLeft" activeCell="A7" sqref="A7"/>
      <selection pane="bottomRight" activeCell="L15" sqref="L15"/>
    </sheetView>
  </sheetViews>
  <sheetFormatPr defaultRowHeight="16.5" x14ac:dyDescent="0.25"/>
  <cols>
    <col min="1" max="1" width="19.75" customWidth="1"/>
    <col min="3" max="6" width="8.75" customWidth="1"/>
    <col min="7" max="7" width="12.75" customWidth="1"/>
    <col min="8" max="12" width="8.75" customWidth="1"/>
    <col min="13" max="13" width="12.75" customWidth="1"/>
    <col min="14" max="18" width="8.75" customWidth="1"/>
  </cols>
  <sheetData>
    <row r="1" spans="1:18" x14ac:dyDescent="0.25">
      <c r="B1" s="175" t="s">
        <v>371</v>
      </c>
      <c r="C1" s="175" t="s">
        <v>200</v>
      </c>
      <c r="D1" s="175">
        <v>1</v>
      </c>
      <c r="E1" s="175">
        <v>2</v>
      </c>
      <c r="F1" s="175">
        <v>3</v>
      </c>
      <c r="G1" s="175">
        <v>4</v>
      </c>
      <c r="I1" s="116" t="s">
        <v>200</v>
      </c>
      <c r="J1" s="116">
        <v>1</v>
      </c>
      <c r="K1" s="116">
        <v>2</v>
      </c>
      <c r="L1" s="116">
        <v>3</v>
      </c>
      <c r="M1" s="116">
        <v>4</v>
      </c>
    </row>
    <row r="2" spans="1:18" ht="82.5" x14ac:dyDescent="0.25">
      <c r="A2" s="132"/>
      <c r="B2" s="132" t="s">
        <v>321</v>
      </c>
      <c r="C2" s="136" t="s">
        <v>105</v>
      </c>
      <c r="D2" s="136" t="s">
        <v>477</v>
      </c>
      <c r="E2" s="136" t="s">
        <v>478</v>
      </c>
      <c r="F2" s="136" t="s">
        <v>481</v>
      </c>
      <c r="G2" s="136" t="s">
        <v>432</v>
      </c>
      <c r="H2" s="284" t="s">
        <v>327</v>
      </c>
      <c r="I2" s="136" t="s">
        <v>105</v>
      </c>
      <c r="J2" s="136" t="s">
        <v>429</v>
      </c>
      <c r="K2" s="136" t="s">
        <v>430</v>
      </c>
      <c r="L2" s="136" t="s">
        <v>431</v>
      </c>
      <c r="M2" s="136" t="s">
        <v>432</v>
      </c>
      <c r="N2" s="80"/>
      <c r="O2" s="80"/>
      <c r="P2" s="80"/>
      <c r="Q2" s="80"/>
      <c r="R2" s="80"/>
    </row>
    <row r="3" spans="1:18" x14ac:dyDescent="0.25">
      <c r="A3" s="132"/>
      <c r="B3" s="132" t="s">
        <v>322</v>
      </c>
      <c r="C3" s="137">
        <v>0</v>
      </c>
      <c r="D3" s="137">
        <v>60000</v>
      </c>
      <c r="E3" s="137">
        <v>2500</v>
      </c>
      <c r="F3" s="137">
        <v>30000</v>
      </c>
      <c r="G3" s="137">
        <v>162455</v>
      </c>
      <c r="H3" s="285"/>
      <c r="I3" s="137">
        <v>0</v>
      </c>
      <c r="J3" s="137">
        <v>60000</v>
      </c>
      <c r="K3" s="137">
        <v>2500</v>
      </c>
      <c r="L3" s="137">
        <v>30000</v>
      </c>
      <c r="M3" s="137">
        <v>162455</v>
      </c>
      <c r="N3" s="116"/>
      <c r="O3" s="116"/>
      <c r="P3" s="116"/>
      <c r="Q3" s="116"/>
      <c r="R3" s="116"/>
    </row>
    <row r="4" spans="1:18" x14ac:dyDescent="0.25">
      <c r="A4" s="132"/>
      <c r="B4" s="132" t="s">
        <v>323</v>
      </c>
      <c r="C4" s="137">
        <v>1</v>
      </c>
      <c r="D4" s="137">
        <v>1</v>
      </c>
      <c r="E4" s="137">
        <v>1</v>
      </c>
      <c r="F4" s="137">
        <v>1</v>
      </c>
      <c r="G4" s="137">
        <v>1</v>
      </c>
      <c r="H4" s="285"/>
      <c r="I4" s="137">
        <v>1</v>
      </c>
      <c r="J4" s="137">
        <v>1</v>
      </c>
      <c r="K4" s="137">
        <v>1</v>
      </c>
      <c r="L4" s="137">
        <v>1</v>
      </c>
      <c r="M4" s="137">
        <v>1</v>
      </c>
      <c r="N4" s="116"/>
      <c r="O4" s="116"/>
      <c r="P4" s="116"/>
      <c r="Q4" s="116"/>
      <c r="R4" s="116"/>
    </row>
    <row r="5" spans="1:18" x14ac:dyDescent="0.25">
      <c r="A5" s="133"/>
      <c r="B5" s="133" t="s">
        <v>324</v>
      </c>
      <c r="C5" s="138">
        <f>SUM(C8:C127)</f>
        <v>0</v>
      </c>
      <c r="D5" s="138">
        <f t="shared" ref="D5:G5" si="0">SUM(D8:D127)</f>
        <v>1</v>
      </c>
      <c r="E5" s="138">
        <f t="shared" si="0"/>
        <v>1</v>
      </c>
      <c r="F5" s="138">
        <f t="shared" si="0"/>
        <v>1</v>
      </c>
      <c r="G5" s="138">
        <f t="shared" si="0"/>
        <v>0</v>
      </c>
      <c r="H5" s="285"/>
      <c r="I5" s="138">
        <f>C5</f>
        <v>0</v>
      </c>
      <c r="J5" s="138">
        <f t="shared" ref="J5:M5" si="1">D5</f>
        <v>1</v>
      </c>
      <c r="K5" s="138">
        <f t="shared" si="1"/>
        <v>1</v>
      </c>
      <c r="L5" s="138">
        <f t="shared" si="1"/>
        <v>1</v>
      </c>
      <c r="M5" s="138">
        <f t="shared" si="1"/>
        <v>0</v>
      </c>
      <c r="N5" s="116"/>
      <c r="O5" s="116"/>
      <c r="P5" s="116"/>
      <c r="Q5" s="116"/>
      <c r="R5" s="116"/>
    </row>
    <row r="6" spans="1:18" x14ac:dyDescent="0.25">
      <c r="A6" s="79" t="s">
        <v>467</v>
      </c>
      <c r="C6" s="116"/>
      <c r="D6" s="116"/>
      <c r="E6" s="116"/>
      <c r="F6" s="116"/>
      <c r="G6" s="116"/>
      <c r="H6" s="285"/>
      <c r="I6" s="116"/>
      <c r="J6" s="116"/>
      <c r="K6" s="116"/>
      <c r="L6" s="116"/>
      <c r="M6" s="116"/>
      <c r="N6" s="116"/>
      <c r="O6" s="116"/>
      <c r="P6" s="116"/>
      <c r="Q6" s="116"/>
      <c r="R6" s="116"/>
    </row>
    <row r="7" spans="1:18" x14ac:dyDescent="0.25">
      <c r="A7" s="134" t="s">
        <v>325</v>
      </c>
      <c r="B7" s="134" t="s">
        <v>326</v>
      </c>
      <c r="C7" s="139"/>
      <c r="D7" s="139" t="s">
        <v>66</v>
      </c>
      <c r="E7" s="139" t="s">
        <v>66</v>
      </c>
      <c r="F7" s="139" t="s">
        <v>66</v>
      </c>
      <c r="G7" s="139" t="s">
        <v>66</v>
      </c>
      <c r="H7" s="285"/>
      <c r="I7" s="139"/>
      <c r="J7" s="139" t="s">
        <v>66</v>
      </c>
      <c r="K7" s="139" t="s">
        <v>66</v>
      </c>
      <c r="L7" s="139" t="s">
        <v>66</v>
      </c>
      <c r="M7" s="139" t="s">
        <v>66</v>
      </c>
      <c r="N7" s="116"/>
      <c r="O7" s="116"/>
      <c r="P7" s="116"/>
      <c r="Q7" s="116"/>
      <c r="R7" s="116"/>
    </row>
    <row r="8" spans="1:18" x14ac:dyDescent="0.25">
      <c r="A8" s="135">
        <v>45803</v>
      </c>
      <c r="B8" s="133">
        <f>SUMPRODUCT($C$3:$G$3,C8:G8)</f>
        <v>62500</v>
      </c>
      <c r="C8" s="81"/>
      <c r="D8" s="140">
        <v>1</v>
      </c>
      <c r="E8" s="140">
        <v>1</v>
      </c>
      <c r="F8" s="140"/>
      <c r="G8" s="140"/>
      <c r="H8" s="142">
        <f>(B8+'No2'!B8+'No3'!B8)/基本資料!$F$3</f>
        <v>1.3854545011200014E-2</v>
      </c>
      <c r="I8">
        <f>C8</f>
        <v>0</v>
      </c>
      <c r="J8">
        <f t="shared" ref="J8:M8" si="2">D8</f>
        <v>1</v>
      </c>
      <c r="K8">
        <f t="shared" si="2"/>
        <v>1</v>
      </c>
      <c r="L8">
        <f t="shared" si="2"/>
        <v>0</v>
      </c>
      <c r="M8">
        <f t="shared" si="2"/>
        <v>0</v>
      </c>
    </row>
    <row r="9" spans="1:18" x14ac:dyDescent="0.25">
      <c r="A9" s="135">
        <v>45804</v>
      </c>
      <c r="B9" s="133">
        <f t="shared" ref="B9:B72" si="3">SUMPRODUCT($C$3:$G$3,C9:G9)</f>
        <v>0</v>
      </c>
      <c r="C9" s="81"/>
      <c r="D9" s="140"/>
      <c r="E9" s="140"/>
      <c r="F9" s="140"/>
      <c r="G9" s="140"/>
      <c r="H9" s="142">
        <f>(B9+'No2'!B9+'No3'!B9)/基本資料!$F$3+H8</f>
        <v>2.7420915486167069E-2</v>
      </c>
      <c r="I9">
        <f>C9+I8</f>
        <v>0</v>
      </c>
      <c r="J9">
        <f t="shared" ref="J9:J72" si="4">D9+J8</f>
        <v>1</v>
      </c>
      <c r="K9">
        <f t="shared" ref="K9:K72" si="5">E9+K8</f>
        <v>1</v>
      </c>
      <c r="L9">
        <f t="shared" ref="L9:L72" si="6">F9+L8</f>
        <v>0</v>
      </c>
      <c r="M9">
        <f t="shared" ref="M9:M72" si="7">G9+M8</f>
        <v>0</v>
      </c>
    </row>
    <row r="10" spans="1:18" x14ac:dyDescent="0.25">
      <c r="A10" s="135">
        <v>45805</v>
      </c>
      <c r="B10" s="133">
        <f t="shared" si="3"/>
        <v>0</v>
      </c>
      <c r="C10" s="81"/>
      <c r="D10" s="140"/>
      <c r="E10" s="140"/>
      <c r="F10" s="140"/>
      <c r="G10" s="140"/>
      <c r="H10" s="142">
        <f>(B10+'No2'!B10+'No3'!B10)/基本資料!$F$3+H9</f>
        <v>4.0987285961134122E-2</v>
      </c>
      <c r="I10">
        <f t="shared" ref="I10:I73" si="8">C10+I9</f>
        <v>0</v>
      </c>
      <c r="J10">
        <f t="shared" si="4"/>
        <v>1</v>
      </c>
      <c r="K10">
        <f t="shared" si="5"/>
        <v>1</v>
      </c>
      <c r="L10">
        <f t="shared" si="6"/>
        <v>0</v>
      </c>
      <c r="M10">
        <f t="shared" si="7"/>
        <v>0</v>
      </c>
    </row>
    <row r="11" spans="1:18" x14ac:dyDescent="0.25">
      <c r="A11" s="135">
        <v>45806</v>
      </c>
      <c r="B11" s="133">
        <f t="shared" si="3"/>
        <v>0</v>
      </c>
      <c r="C11" s="81"/>
      <c r="D11" s="140"/>
      <c r="E11" s="140"/>
      <c r="F11" s="140"/>
      <c r="G11" s="140"/>
      <c r="H11" s="142">
        <f>(B11+'No2'!B11+'No3'!B11)/基本資料!$F$3+H10</f>
        <v>4.0987285961134122E-2</v>
      </c>
      <c r="I11">
        <f t="shared" si="8"/>
        <v>0</v>
      </c>
      <c r="J11">
        <f t="shared" si="4"/>
        <v>1</v>
      </c>
      <c r="K11">
        <f t="shared" si="5"/>
        <v>1</v>
      </c>
      <c r="L11">
        <f t="shared" si="6"/>
        <v>0</v>
      </c>
      <c r="M11">
        <f t="shared" si="7"/>
        <v>0</v>
      </c>
    </row>
    <row r="12" spans="1:18" x14ac:dyDescent="0.25">
      <c r="A12" s="135">
        <v>45807</v>
      </c>
      <c r="B12" s="133">
        <f t="shared" si="3"/>
        <v>0</v>
      </c>
      <c r="C12" s="81"/>
      <c r="D12" s="140"/>
      <c r="E12" s="140"/>
      <c r="F12" s="140"/>
      <c r="G12" s="140"/>
      <c r="H12" s="142">
        <f>(B12+'No2'!B12+'No3'!B12)/基本資料!$F$3+H11</f>
        <v>4.0987285961134122E-2</v>
      </c>
      <c r="I12">
        <f t="shared" si="8"/>
        <v>0</v>
      </c>
      <c r="J12">
        <f t="shared" si="4"/>
        <v>1</v>
      </c>
      <c r="K12">
        <f t="shared" si="5"/>
        <v>1</v>
      </c>
      <c r="L12">
        <f t="shared" si="6"/>
        <v>0</v>
      </c>
      <c r="M12">
        <f t="shared" si="7"/>
        <v>0</v>
      </c>
    </row>
    <row r="13" spans="1:18" x14ac:dyDescent="0.25">
      <c r="A13" s="135">
        <v>45808</v>
      </c>
      <c r="B13" s="133">
        <f t="shared" si="3"/>
        <v>0</v>
      </c>
      <c r="C13" s="81"/>
      <c r="D13" s="140"/>
      <c r="E13" s="140"/>
      <c r="F13" s="140"/>
      <c r="G13" s="140"/>
      <c r="H13" s="142">
        <f>(B13+'No2'!B13+'No3'!B13)/基本資料!$F$3+H12</f>
        <v>4.0987285961134122E-2</v>
      </c>
      <c r="I13">
        <f t="shared" si="8"/>
        <v>0</v>
      </c>
      <c r="J13">
        <f t="shared" si="4"/>
        <v>1</v>
      </c>
      <c r="K13">
        <f t="shared" si="5"/>
        <v>1</v>
      </c>
      <c r="L13">
        <f t="shared" si="6"/>
        <v>0</v>
      </c>
      <c r="M13">
        <f t="shared" si="7"/>
        <v>0</v>
      </c>
    </row>
    <row r="14" spans="1:18" x14ac:dyDescent="0.25">
      <c r="A14" s="135">
        <v>45809</v>
      </c>
      <c r="B14" s="133">
        <f t="shared" si="3"/>
        <v>15000</v>
      </c>
      <c r="C14" s="81"/>
      <c r="D14" s="140"/>
      <c r="E14" s="140"/>
      <c r="F14" s="140">
        <v>0.5</v>
      </c>
      <c r="G14" s="140"/>
      <c r="H14" s="142">
        <f>(B14+'No2'!B14+'No3'!B14)/基本資料!$F$3+H13</f>
        <v>4.4312376763822124E-2</v>
      </c>
      <c r="I14">
        <f t="shared" si="8"/>
        <v>0</v>
      </c>
      <c r="J14">
        <f t="shared" si="4"/>
        <v>1</v>
      </c>
      <c r="K14">
        <f t="shared" si="5"/>
        <v>1</v>
      </c>
      <c r="L14">
        <f t="shared" si="6"/>
        <v>0.5</v>
      </c>
      <c r="M14">
        <f t="shared" si="7"/>
        <v>0</v>
      </c>
    </row>
    <row r="15" spans="1:18" x14ac:dyDescent="0.25">
      <c r="A15" s="135">
        <v>45810</v>
      </c>
      <c r="B15" s="133">
        <f t="shared" si="3"/>
        <v>15000</v>
      </c>
      <c r="C15" s="81"/>
      <c r="D15" s="140"/>
      <c r="E15" s="140"/>
      <c r="F15" s="140">
        <v>0.5</v>
      </c>
      <c r="G15" s="140"/>
      <c r="H15" s="142">
        <f>(B15+'No2'!B15+'No3'!B15)/基本資料!$F$3+H14</f>
        <v>5.6194034565427257E-2</v>
      </c>
      <c r="I15">
        <f t="shared" si="8"/>
        <v>0</v>
      </c>
      <c r="J15">
        <f t="shared" si="4"/>
        <v>1</v>
      </c>
      <c r="K15">
        <f t="shared" si="5"/>
        <v>1</v>
      </c>
      <c r="L15">
        <f t="shared" si="6"/>
        <v>1</v>
      </c>
      <c r="M15">
        <f t="shared" si="7"/>
        <v>0</v>
      </c>
    </row>
    <row r="16" spans="1:18" x14ac:dyDescent="0.25">
      <c r="A16" s="135">
        <v>45811</v>
      </c>
      <c r="B16" s="133">
        <f t="shared" si="3"/>
        <v>0</v>
      </c>
      <c r="C16" s="81"/>
      <c r="D16" s="140"/>
      <c r="E16" s="140"/>
      <c r="F16" s="140"/>
      <c r="G16" s="140"/>
      <c r="H16" s="142">
        <f>(B16+'No2'!B16+'No3'!B16)/基本資料!$F$3+H15</f>
        <v>5.6194034565427257E-2</v>
      </c>
      <c r="I16">
        <f t="shared" si="8"/>
        <v>0</v>
      </c>
      <c r="J16">
        <f t="shared" si="4"/>
        <v>1</v>
      </c>
      <c r="K16">
        <f t="shared" si="5"/>
        <v>1</v>
      </c>
      <c r="L16">
        <f t="shared" si="6"/>
        <v>1</v>
      </c>
      <c r="M16">
        <f t="shared" si="7"/>
        <v>0</v>
      </c>
    </row>
    <row r="17" spans="1:13" x14ac:dyDescent="0.25">
      <c r="A17" s="135">
        <v>45812</v>
      </c>
      <c r="B17" s="133">
        <f t="shared" si="3"/>
        <v>0</v>
      </c>
      <c r="C17" s="81"/>
      <c r="D17" s="140"/>
      <c r="E17" s="140"/>
      <c r="F17" s="140"/>
      <c r="G17" s="140"/>
      <c r="H17" s="142">
        <f>(B17+'No2'!B17+'No3'!B17)/基本資料!$F$3+H16</f>
        <v>7.7940128415006804E-2</v>
      </c>
      <c r="I17">
        <f t="shared" si="8"/>
        <v>0</v>
      </c>
      <c r="J17">
        <f t="shared" si="4"/>
        <v>1</v>
      </c>
      <c r="K17">
        <f t="shared" si="5"/>
        <v>1</v>
      </c>
      <c r="L17">
        <f t="shared" si="6"/>
        <v>1</v>
      </c>
      <c r="M17">
        <f t="shared" si="7"/>
        <v>0</v>
      </c>
    </row>
    <row r="18" spans="1:13" x14ac:dyDescent="0.25">
      <c r="A18" s="135">
        <v>45813</v>
      </c>
      <c r="B18" s="133">
        <f t="shared" si="3"/>
        <v>0</v>
      </c>
      <c r="C18" s="81"/>
      <c r="D18" s="140"/>
      <c r="E18" s="140"/>
      <c r="F18" s="140"/>
      <c r="G18" s="140"/>
      <c r="H18" s="142">
        <f>(B18+'No2'!B18+'No3'!B18)/基本資料!$F$3+H17</f>
        <v>9.6427633277952104E-2</v>
      </c>
      <c r="I18">
        <f t="shared" si="8"/>
        <v>0</v>
      </c>
      <c r="J18">
        <f t="shared" si="4"/>
        <v>1</v>
      </c>
      <c r="K18">
        <f t="shared" si="5"/>
        <v>1</v>
      </c>
      <c r="L18">
        <f t="shared" si="6"/>
        <v>1</v>
      </c>
      <c r="M18">
        <f t="shared" si="7"/>
        <v>0</v>
      </c>
    </row>
    <row r="19" spans="1:13" x14ac:dyDescent="0.25">
      <c r="A19" s="135">
        <v>45814</v>
      </c>
      <c r="B19" s="133">
        <f t="shared" si="3"/>
        <v>0</v>
      </c>
      <c r="C19" s="81"/>
      <c r="D19" s="140"/>
      <c r="E19" s="140"/>
      <c r="F19" s="140"/>
      <c r="G19" s="140"/>
      <c r="H19" s="142">
        <f>(B19+'No2'!B19+'No3'!B19)/基本資料!$F$3+H18</f>
        <v>0.10946198922448908</v>
      </c>
      <c r="I19">
        <f t="shared" si="8"/>
        <v>0</v>
      </c>
      <c r="J19">
        <f t="shared" si="4"/>
        <v>1</v>
      </c>
      <c r="K19">
        <f t="shared" si="5"/>
        <v>1</v>
      </c>
      <c r="L19">
        <f t="shared" si="6"/>
        <v>1</v>
      </c>
      <c r="M19">
        <f t="shared" si="7"/>
        <v>0</v>
      </c>
    </row>
    <row r="20" spans="1:13" x14ac:dyDescent="0.25">
      <c r="A20" s="135">
        <v>45815</v>
      </c>
      <c r="B20" s="133">
        <f t="shared" si="3"/>
        <v>0</v>
      </c>
      <c r="C20" s="81"/>
      <c r="D20" s="140"/>
      <c r="E20" s="140"/>
      <c r="F20" s="140"/>
      <c r="G20" s="140"/>
      <c r="H20" s="142">
        <f>(B20+'No2'!B20+'No3'!B20)/基本資料!$F$3+H19</f>
        <v>0.11850623620780044</v>
      </c>
      <c r="I20">
        <f t="shared" si="8"/>
        <v>0</v>
      </c>
      <c r="J20">
        <f t="shared" si="4"/>
        <v>1</v>
      </c>
      <c r="K20">
        <f t="shared" si="5"/>
        <v>1</v>
      </c>
      <c r="L20">
        <f t="shared" si="6"/>
        <v>1</v>
      </c>
      <c r="M20">
        <f t="shared" si="7"/>
        <v>0</v>
      </c>
    </row>
    <row r="21" spans="1:13" x14ac:dyDescent="0.25">
      <c r="A21" s="135">
        <v>45816</v>
      </c>
      <c r="B21" s="133">
        <f t="shared" si="3"/>
        <v>0</v>
      </c>
      <c r="C21" s="81"/>
      <c r="D21" s="140"/>
      <c r="E21" s="140"/>
      <c r="F21" s="140"/>
      <c r="G21" s="140"/>
      <c r="H21" s="142">
        <f>(B21+'No2'!B21+'No3'!B21)/基本資料!$F$3+H20</f>
        <v>0.12249634517102605</v>
      </c>
      <c r="I21">
        <f t="shared" si="8"/>
        <v>0</v>
      </c>
      <c r="J21">
        <f t="shared" si="4"/>
        <v>1</v>
      </c>
      <c r="K21">
        <f t="shared" si="5"/>
        <v>1</v>
      </c>
      <c r="L21">
        <f t="shared" si="6"/>
        <v>1</v>
      </c>
      <c r="M21">
        <f t="shared" si="7"/>
        <v>0</v>
      </c>
    </row>
    <row r="22" spans="1:13" x14ac:dyDescent="0.25">
      <c r="A22" s="135">
        <v>45817</v>
      </c>
      <c r="B22" s="133">
        <f t="shared" si="3"/>
        <v>0</v>
      </c>
      <c r="C22" s="81"/>
      <c r="D22" s="140"/>
      <c r="E22" s="140"/>
      <c r="F22" s="140"/>
      <c r="G22" s="140"/>
      <c r="H22" s="142">
        <f>(B22+'No2'!B22+'No3'!B22)/基本資料!$F$3+H21</f>
        <v>0.14593823532997646</v>
      </c>
      <c r="I22">
        <f t="shared" si="8"/>
        <v>0</v>
      </c>
      <c r="J22">
        <f t="shared" si="4"/>
        <v>1</v>
      </c>
      <c r="K22">
        <f t="shared" si="5"/>
        <v>1</v>
      </c>
      <c r="L22">
        <f t="shared" si="6"/>
        <v>1</v>
      </c>
      <c r="M22">
        <f t="shared" si="7"/>
        <v>0</v>
      </c>
    </row>
    <row r="23" spans="1:13" x14ac:dyDescent="0.25">
      <c r="A23" s="135">
        <v>45818</v>
      </c>
      <c r="B23" s="133">
        <f t="shared" si="3"/>
        <v>0</v>
      </c>
      <c r="C23" s="81"/>
      <c r="D23" s="140"/>
      <c r="E23" s="140"/>
      <c r="F23" s="140"/>
      <c r="G23" s="140"/>
      <c r="H23" s="142">
        <f>(B23+'No2'!B23+'No3'!B23)/基本資料!$F$3+H22</f>
        <v>0.14593823532997646</v>
      </c>
      <c r="I23">
        <f t="shared" si="8"/>
        <v>0</v>
      </c>
      <c r="J23">
        <f t="shared" si="4"/>
        <v>1</v>
      </c>
      <c r="K23">
        <f t="shared" si="5"/>
        <v>1</v>
      </c>
      <c r="L23">
        <f t="shared" si="6"/>
        <v>1</v>
      </c>
      <c r="M23">
        <f t="shared" si="7"/>
        <v>0</v>
      </c>
    </row>
    <row r="24" spans="1:13" x14ac:dyDescent="0.25">
      <c r="A24" s="135">
        <v>45819</v>
      </c>
      <c r="B24" s="133">
        <f t="shared" si="3"/>
        <v>0</v>
      </c>
      <c r="C24" s="81"/>
      <c r="D24" s="140"/>
      <c r="E24" s="140"/>
      <c r="F24" s="140"/>
      <c r="G24" s="140"/>
      <c r="H24" s="142">
        <f>(B24+'No2'!B24+'No3'!B24)/基本資料!$F$3+H23</f>
        <v>0.16588878014610448</v>
      </c>
      <c r="I24">
        <f t="shared" si="8"/>
        <v>0</v>
      </c>
      <c r="J24">
        <f t="shared" si="4"/>
        <v>1</v>
      </c>
      <c r="K24">
        <f t="shared" si="5"/>
        <v>1</v>
      </c>
      <c r="L24">
        <f t="shared" si="6"/>
        <v>1</v>
      </c>
      <c r="M24">
        <f t="shared" si="7"/>
        <v>0</v>
      </c>
    </row>
    <row r="25" spans="1:13" x14ac:dyDescent="0.25">
      <c r="A25" s="135">
        <v>45820</v>
      </c>
      <c r="B25" s="133">
        <f t="shared" si="3"/>
        <v>0</v>
      </c>
      <c r="C25" s="81"/>
      <c r="D25" s="140"/>
      <c r="E25" s="140"/>
      <c r="F25" s="140"/>
      <c r="G25" s="140"/>
      <c r="H25" s="142">
        <f>(B25+'No2'!B25+'No3'!B25)/基本資料!$F$3+H24</f>
        <v>0.18583932496223249</v>
      </c>
      <c r="I25">
        <f t="shared" si="8"/>
        <v>0</v>
      </c>
      <c r="J25">
        <f t="shared" si="4"/>
        <v>1</v>
      </c>
      <c r="K25">
        <f t="shared" si="5"/>
        <v>1</v>
      </c>
      <c r="L25">
        <f t="shared" si="6"/>
        <v>1</v>
      </c>
      <c r="M25">
        <f t="shared" si="7"/>
        <v>0</v>
      </c>
    </row>
    <row r="26" spans="1:13" x14ac:dyDescent="0.25">
      <c r="A26" s="135">
        <v>45821</v>
      </c>
      <c r="B26" s="133">
        <f t="shared" si="3"/>
        <v>0</v>
      </c>
      <c r="C26" s="81"/>
      <c r="D26" s="140"/>
      <c r="E26" s="140"/>
      <c r="F26" s="140"/>
      <c r="G26" s="140"/>
      <c r="H26" s="142">
        <f>(B26+'No2'!B26+'No3'!B26)/基本資料!$F$3+H25</f>
        <v>0.22923175993731093</v>
      </c>
      <c r="I26">
        <f t="shared" si="8"/>
        <v>0</v>
      </c>
      <c r="J26">
        <f t="shared" si="4"/>
        <v>1</v>
      </c>
      <c r="K26">
        <f t="shared" si="5"/>
        <v>1</v>
      </c>
      <c r="L26">
        <f t="shared" si="6"/>
        <v>1</v>
      </c>
      <c r="M26">
        <f t="shared" si="7"/>
        <v>0</v>
      </c>
    </row>
    <row r="27" spans="1:13" x14ac:dyDescent="0.25">
      <c r="A27" s="135">
        <v>45822</v>
      </c>
      <c r="B27" s="133">
        <f t="shared" si="3"/>
        <v>0</v>
      </c>
      <c r="C27" s="81"/>
      <c r="D27" s="140"/>
      <c r="E27" s="140"/>
      <c r="F27" s="140"/>
      <c r="G27" s="140"/>
      <c r="H27" s="142">
        <f>(B27+'No2'!B27+'No3'!B27)/基本資料!$F$3+H26</f>
        <v>0.27262419491238937</v>
      </c>
      <c r="I27">
        <f t="shared" si="8"/>
        <v>0</v>
      </c>
      <c r="J27">
        <f t="shared" si="4"/>
        <v>1</v>
      </c>
      <c r="K27">
        <f t="shared" si="5"/>
        <v>1</v>
      </c>
      <c r="L27">
        <f t="shared" si="6"/>
        <v>1</v>
      </c>
      <c r="M27">
        <f t="shared" si="7"/>
        <v>0</v>
      </c>
    </row>
    <row r="28" spans="1:13" x14ac:dyDescent="0.25">
      <c r="A28" s="135">
        <v>45823</v>
      </c>
      <c r="B28" s="133">
        <f t="shared" si="3"/>
        <v>0</v>
      </c>
      <c r="C28" s="81"/>
      <c r="D28" s="140"/>
      <c r="E28" s="140"/>
      <c r="F28" s="140"/>
      <c r="G28" s="140"/>
      <c r="H28" s="142">
        <f>(B28+'No2'!B28+'No3'!B28)/基本資料!$F$3+H27</f>
        <v>0.31601662988746781</v>
      </c>
      <c r="I28">
        <f t="shared" si="8"/>
        <v>0</v>
      </c>
      <c r="J28">
        <f t="shared" si="4"/>
        <v>1</v>
      </c>
      <c r="K28">
        <f t="shared" si="5"/>
        <v>1</v>
      </c>
      <c r="L28">
        <f t="shared" si="6"/>
        <v>1</v>
      </c>
      <c r="M28">
        <f t="shared" si="7"/>
        <v>0</v>
      </c>
    </row>
    <row r="29" spans="1:13" x14ac:dyDescent="0.25">
      <c r="A29" s="135">
        <v>45824</v>
      </c>
      <c r="B29" s="133">
        <f t="shared" si="3"/>
        <v>0</v>
      </c>
      <c r="C29" s="81"/>
      <c r="D29" s="140"/>
      <c r="E29" s="140"/>
      <c r="F29" s="140"/>
      <c r="G29" s="140"/>
      <c r="H29" s="142">
        <f>(B29+'No2'!B29+'No3'!B29)/基本資料!$F$3+H28</f>
        <v>0.33945852004641824</v>
      </c>
      <c r="I29">
        <f t="shared" si="8"/>
        <v>0</v>
      </c>
      <c r="J29">
        <f t="shared" si="4"/>
        <v>1</v>
      </c>
      <c r="K29">
        <f t="shared" si="5"/>
        <v>1</v>
      </c>
      <c r="L29">
        <f t="shared" si="6"/>
        <v>1</v>
      </c>
      <c r="M29">
        <f t="shared" si="7"/>
        <v>0</v>
      </c>
    </row>
    <row r="30" spans="1:13" x14ac:dyDescent="0.25">
      <c r="A30" s="135">
        <v>45825</v>
      </c>
      <c r="B30" s="133">
        <f t="shared" si="3"/>
        <v>0</v>
      </c>
      <c r="C30" s="81"/>
      <c r="D30" s="140"/>
      <c r="E30" s="140"/>
      <c r="F30" s="140"/>
      <c r="G30" s="140"/>
      <c r="H30" s="142">
        <f>(B30+'No2'!B30+'No3'!B30)/基本資料!$F$3+H29</f>
        <v>0.33945852004641824</v>
      </c>
      <c r="I30">
        <f t="shared" si="8"/>
        <v>0</v>
      </c>
      <c r="J30">
        <f t="shared" si="4"/>
        <v>1</v>
      </c>
      <c r="K30">
        <f t="shared" si="5"/>
        <v>1</v>
      </c>
      <c r="L30">
        <f t="shared" si="6"/>
        <v>1</v>
      </c>
      <c r="M30">
        <f t="shared" si="7"/>
        <v>0</v>
      </c>
    </row>
    <row r="31" spans="1:13" x14ac:dyDescent="0.25">
      <c r="A31" s="135">
        <v>45826</v>
      </c>
      <c r="B31" s="133">
        <f t="shared" si="3"/>
        <v>0</v>
      </c>
      <c r="C31" s="81"/>
      <c r="D31" s="140"/>
      <c r="E31" s="140"/>
      <c r="F31" s="140"/>
      <c r="G31" s="140"/>
      <c r="H31" s="142">
        <f>(B31+'No2'!B31+'No3'!B31)/基本資料!$F$3+H30</f>
        <v>0.33945852004641824</v>
      </c>
      <c r="I31">
        <f t="shared" si="8"/>
        <v>0</v>
      </c>
      <c r="J31">
        <f t="shared" si="4"/>
        <v>1</v>
      </c>
      <c r="K31">
        <f t="shared" si="5"/>
        <v>1</v>
      </c>
      <c r="L31">
        <f t="shared" si="6"/>
        <v>1</v>
      </c>
      <c r="M31">
        <f t="shared" si="7"/>
        <v>0</v>
      </c>
    </row>
    <row r="32" spans="1:13" x14ac:dyDescent="0.25">
      <c r="A32" s="135">
        <v>45827</v>
      </c>
      <c r="B32" s="133">
        <f t="shared" si="3"/>
        <v>0</v>
      </c>
      <c r="C32" s="81"/>
      <c r="D32" s="140"/>
      <c r="E32" s="140"/>
      <c r="F32" s="140"/>
      <c r="G32" s="140"/>
      <c r="H32" s="142">
        <f>(B32+'No2'!B32+'No3'!B32)/基本資料!$F$3+H31</f>
        <v>0.36689051916859428</v>
      </c>
      <c r="I32">
        <f t="shared" si="8"/>
        <v>0</v>
      </c>
      <c r="J32">
        <f t="shared" si="4"/>
        <v>1</v>
      </c>
      <c r="K32">
        <f t="shared" si="5"/>
        <v>1</v>
      </c>
      <c r="L32">
        <f t="shared" si="6"/>
        <v>1</v>
      </c>
      <c r="M32">
        <f t="shared" si="7"/>
        <v>0</v>
      </c>
    </row>
    <row r="33" spans="1:13" x14ac:dyDescent="0.25">
      <c r="A33" s="135">
        <v>45828</v>
      </c>
      <c r="B33" s="133">
        <f t="shared" si="3"/>
        <v>0</v>
      </c>
      <c r="C33" s="81"/>
      <c r="D33" s="140"/>
      <c r="E33" s="140"/>
      <c r="F33" s="140"/>
      <c r="G33" s="140"/>
      <c r="H33" s="142">
        <f>(B33+'No2'!B33+'No3'!B33)/基本資料!$F$3+H32</f>
        <v>0.36689051916859428</v>
      </c>
      <c r="I33">
        <f t="shared" si="8"/>
        <v>0</v>
      </c>
      <c r="J33">
        <f t="shared" si="4"/>
        <v>1</v>
      </c>
      <c r="K33">
        <f t="shared" si="5"/>
        <v>1</v>
      </c>
      <c r="L33">
        <f t="shared" si="6"/>
        <v>1</v>
      </c>
      <c r="M33">
        <f t="shared" si="7"/>
        <v>0</v>
      </c>
    </row>
    <row r="34" spans="1:13" x14ac:dyDescent="0.25">
      <c r="A34" s="135">
        <v>45829</v>
      </c>
      <c r="B34" s="133">
        <f t="shared" si="3"/>
        <v>0</v>
      </c>
      <c r="C34" s="81"/>
      <c r="D34" s="140"/>
      <c r="E34" s="140"/>
      <c r="F34" s="140"/>
      <c r="G34" s="140"/>
      <c r="H34" s="142">
        <f>(B34+'No2'!B34+'No3'!B34)/基本資料!$F$3+H33</f>
        <v>0.36689051916859428</v>
      </c>
      <c r="I34">
        <f t="shared" si="8"/>
        <v>0</v>
      </c>
      <c r="J34">
        <f t="shared" si="4"/>
        <v>1</v>
      </c>
      <c r="K34">
        <f t="shared" si="5"/>
        <v>1</v>
      </c>
      <c r="L34">
        <f t="shared" si="6"/>
        <v>1</v>
      </c>
      <c r="M34">
        <f t="shared" si="7"/>
        <v>0</v>
      </c>
    </row>
    <row r="35" spans="1:13" x14ac:dyDescent="0.25">
      <c r="A35" s="135">
        <v>45830</v>
      </c>
      <c r="B35" s="133">
        <f t="shared" si="3"/>
        <v>0</v>
      </c>
      <c r="C35" s="81"/>
      <c r="D35" s="140"/>
      <c r="E35" s="140"/>
      <c r="F35" s="140"/>
      <c r="G35" s="140"/>
      <c r="H35" s="142">
        <f>(B35+'No2'!B35+'No3'!B35)/基本資料!$F$3+H34</f>
        <v>0.36689051916859428</v>
      </c>
      <c r="I35">
        <f t="shared" si="8"/>
        <v>0</v>
      </c>
      <c r="J35">
        <f t="shared" si="4"/>
        <v>1</v>
      </c>
      <c r="K35">
        <f t="shared" si="5"/>
        <v>1</v>
      </c>
      <c r="L35">
        <f t="shared" si="6"/>
        <v>1</v>
      </c>
      <c r="M35">
        <f t="shared" si="7"/>
        <v>0</v>
      </c>
    </row>
    <row r="36" spans="1:13" x14ac:dyDescent="0.25">
      <c r="A36" s="135">
        <v>45831</v>
      </c>
      <c r="B36" s="133">
        <f t="shared" si="3"/>
        <v>0</v>
      </c>
      <c r="C36" s="81"/>
      <c r="D36" s="140"/>
      <c r="E36" s="140"/>
      <c r="F36" s="140"/>
      <c r="G36" s="140"/>
      <c r="H36" s="142">
        <f>(B36+'No2'!B36+'No3'!B36)/基本資料!$F$3+H35</f>
        <v>0.41028295414367272</v>
      </c>
      <c r="I36">
        <f t="shared" si="8"/>
        <v>0</v>
      </c>
      <c r="J36">
        <f t="shared" si="4"/>
        <v>1</v>
      </c>
      <c r="K36">
        <f t="shared" si="5"/>
        <v>1</v>
      </c>
      <c r="L36">
        <f t="shared" si="6"/>
        <v>1</v>
      </c>
      <c r="M36">
        <f t="shared" si="7"/>
        <v>0</v>
      </c>
    </row>
    <row r="37" spans="1:13" x14ac:dyDescent="0.25">
      <c r="A37" s="135">
        <v>45832</v>
      </c>
      <c r="B37" s="133">
        <f t="shared" si="3"/>
        <v>0</v>
      </c>
      <c r="C37" s="81"/>
      <c r="D37" s="140"/>
      <c r="E37" s="140"/>
      <c r="F37" s="140"/>
      <c r="G37" s="140"/>
      <c r="H37" s="142">
        <f>(B37+'No2'!B37+'No3'!B37)/基本資料!$F$3+H36</f>
        <v>0.46647698870909998</v>
      </c>
      <c r="I37">
        <f t="shared" si="8"/>
        <v>0</v>
      </c>
      <c r="J37">
        <f t="shared" si="4"/>
        <v>1</v>
      </c>
      <c r="K37">
        <f t="shared" si="5"/>
        <v>1</v>
      </c>
      <c r="L37">
        <f t="shared" si="6"/>
        <v>1</v>
      </c>
      <c r="M37">
        <f t="shared" si="7"/>
        <v>0</v>
      </c>
    </row>
    <row r="38" spans="1:13" x14ac:dyDescent="0.25">
      <c r="A38" s="135">
        <v>45833</v>
      </c>
      <c r="B38" s="133">
        <f t="shared" si="3"/>
        <v>0</v>
      </c>
      <c r="C38" s="81"/>
      <c r="D38" s="140"/>
      <c r="E38" s="140"/>
      <c r="F38" s="140"/>
      <c r="G38" s="140"/>
      <c r="H38" s="142">
        <f>(B38+'No2'!B38+'No3'!B38)/基本資料!$F$3+H37</f>
        <v>0.46647698870909998</v>
      </c>
      <c r="I38">
        <f t="shared" si="8"/>
        <v>0</v>
      </c>
      <c r="J38">
        <f t="shared" si="4"/>
        <v>1</v>
      </c>
      <c r="K38">
        <f t="shared" si="5"/>
        <v>1</v>
      </c>
      <c r="L38">
        <f t="shared" si="6"/>
        <v>1</v>
      </c>
      <c r="M38">
        <f t="shared" si="7"/>
        <v>0</v>
      </c>
    </row>
    <row r="39" spans="1:13" x14ac:dyDescent="0.25">
      <c r="A39" s="135">
        <v>45834</v>
      </c>
      <c r="B39" s="133">
        <f t="shared" si="3"/>
        <v>0</v>
      </c>
      <c r="C39" s="81"/>
      <c r="D39" s="140"/>
      <c r="E39" s="140"/>
      <c r="F39" s="140"/>
      <c r="G39" s="140"/>
      <c r="H39" s="142">
        <f>(B39+'No2'!B39+'No3'!B39)/基本資料!$F$3+H38</f>
        <v>0.46647698870909998</v>
      </c>
      <c r="I39">
        <f t="shared" si="8"/>
        <v>0</v>
      </c>
      <c r="J39">
        <f t="shared" si="4"/>
        <v>1</v>
      </c>
      <c r="K39">
        <f t="shared" si="5"/>
        <v>1</v>
      </c>
      <c r="L39">
        <f t="shared" si="6"/>
        <v>1</v>
      </c>
      <c r="M39">
        <f t="shared" si="7"/>
        <v>0</v>
      </c>
    </row>
    <row r="40" spans="1:13" x14ac:dyDescent="0.25">
      <c r="A40" s="135">
        <v>45835</v>
      </c>
      <c r="B40" s="133">
        <f t="shared" si="3"/>
        <v>0</v>
      </c>
      <c r="C40" s="81"/>
      <c r="D40" s="140"/>
      <c r="E40" s="140"/>
      <c r="F40" s="140"/>
      <c r="G40" s="140"/>
      <c r="H40" s="142">
        <f>(B40+'No2'!B40+'No3'!B40)/基本資料!$F$3+H39</f>
        <v>0.46647698870909998</v>
      </c>
      <c r="I40">
        <f t="shared" si="8"/>
        <v>0</v>
      </c>
      <c r="J40">
        <f t="shared" si="4"/>
        <v>1</v>
      </c>
      <c r="K40">
        <f t="shared" si="5"/>
        <v>1</v>
      </c>
      <c r="L40">
        <f t="shared" si="6"/>
        <v>1</v>
      </c>
      <c r="M40">
        <f t="shared" si="7"/>
        <v>0</v>
      </c>
    </row>
    <row r="41" spans="1:13" x14ac:dyDescent="0.25">
      <c r="A41" s="135">
        <v>45836</v>
      </c>
      <c r="B41" s="133">
        <f t="shared" si="3"/>
        <v>0</v>
      </c>
      <c r="C41" s="81"/>
      <c r="D41" s="140"/>
      <c r="E41" s="140"/>
      <c r="F41" s="140"/>
      <c r="G41" s="140"/>
      <c r="H41" s="142">
        <f>(B41+'No2'!B41+'No3'!B41)/基本資料!$F$3+H40</f>
        <v>0.46647698870909998</v>
      </c>
      <c r="I41">
        <f t="shared" si="8"/>
        <v>0</v>
      </c>
      <c r="J41">
        <f t="shared" si="4"/>
        <v>1</v>
      </c>
      <c r="K41">
        <f t="shared" si="5"/>
        <v>1</v>
      </c>
      <c r="L41">
        <f t="shared" si="6"/>
        <v>1</v>
      </c>
      <c r="M41">
        <f t="shared" si="7"/>
        <v>0</v>
      </c>
    </row>
    <row r="42" spans="1:13" x14ac:dyDescent="0.25">
      <c r="A42" s="135">
        <v>45837</v>
      </c>
      <c r="B42" s="133">
        <f t="shared" si="3"/>
        <v>0</v>
      </c>
      <c r="C42" s="81"/>
      <c r="D42" s="140"/>
      <c r="E42" s="140"/>
      <c r="F42" s="140"/>
      <c r="G42" s="140"/>
      <c r="H42" s="142">
        <f>(B42+'No2'!B42+'No3'!B42)/基本資料!$F$3+H41</f>
        <v>0.46647698870909998</v>
      </c>
      <c r="I42">
        <f t="shared" si="8"/>
        <v>0</v>
      </c>
      <c r="J42">
        <f t="shared" si="4"/>
        <v>1</v>
      </c>
      <c r="K42">
        <f t="shared" si="5"/>
        <v>1</v>
      </c>
      <c r="L42">
        <f t="shared" si="6"/>
        <v>1</v>
      </c>
      <c r="M42">
        <f t="shared" si="7"/>
        <v>0</v>
      </c>
    </row>
    <row r="43" spans="1:13" x14ac:dyDescent="0.25">
      <c r="A43" s="135">
        <v>45838</v>
      </c>
      <c r="B43" s="133">
        <f t="shared" si="3"/>
        <v>0</v>
      </c>
      <c r="C43" s="81"/>
      <c r="D43" s="140"/>
      <c r="E43" s="140"/>
      <c r="F43" s="140"/>
      <c r="G43" s="140"/>
      <c r="H43" s="142">
        <f>(B43+'No2'!B43+'No3'!B43)/基本資料!$F$3+H42</f>
        <v>0.46647698870909998</v>
      </c>
      <c r="I43">
        <f t="shared" si="8"/>
        <v>0</v>
      </c>
      <c r="J43">
        <f t="shared" si="4"/>
        <v>1</v>
      </c>
      <c r="K43">
        <f t="shared" si="5"/>
        <v>1</v>
      </c>
      <c r="L43">
        <f t="shared" si="6"/>
        <v>1</v>
      </c>
      <c r="M43">
        <f t="shared" si="7"/>
        <v>0</v>
      </c>
    </row>
    <row r="44" spans="1:13" x14ac:dyDescent="0.25">
      <c r="A44" s="135">
        <v>45839</v>
      </c>
      <c r="B44" s="133">
        <f t="shared" si="3"/>
        <v>0</v>
      </c>
      <c r="C44" s="81"/>
      <c r="D44" s="140"/>
      <c r="E44" s="140"/>
      <c r="F44" s="140"/>
      <c r="G44" s="140"/>
      <c r="H44" s="142">
        <f>(B44+'No2'!B44+'No3'!B44)/基本資料!$F$3+H43</f>
        <v>0.46647698870909998</v>
      </c>
      <c r="I44">
        <f t="shared" si="8"/>
        <v>0</v>
      </c>
      <c r="J44">
        <f t="shared" si="4"/>
        <v>1</v>
      </c>
      <c r="K44">
        <f t="shared" si="5"/>
        <v>1</v>
      </c>
      <c r="L44">
        <f t="shared" si="6"/>
        <v>1</v>
      </c>
      <c r="M44">
        <f t="shared" si="7"/>
        <v>0</v>
      </c>
    </row>
    <row r="45" spans="1:13" x14ac:dyDescent="0.25">
      <c r="A45" s="135">
        <v>45840</v>
      </c>
      <c r="B45" s="133">
        <f t="shared" si="3"/>
        <v>0</v>
      </c>
      <c r="C45" s="81"/>
      <c r="D45" s="140"/>
      <c r="E45" s="140"/>
      <c r="F45" s="140"/>
      <c r="G45" s="140"/>
      <c r="H45" s="142">
        <f>(B45+'No2'!B45+'No3'!B45)/基本資料!$F$3+H44</f>
        <v>0.46647698870909998</v>
      </c>
      <c r="I45">
        <f t="shared" si="8"/>
        <v>0</v>
      </c>
      <c r="J45">
        <f t="shared" si="4"/>
        <v>1</v>
      </c>
      <c r="K45">
        <f t="shared" si="5"/>
        <v>1</v>
      </c>
      <c r="L45">
        <f t="shared" si="6"/>
        <v>1</v>
      </c>
      <c r="M45">
        <f t="shared" si="7"/>
        <v>0</v>
      </c>
    </row>
    <row r="46" spans="1:13" x14ac:dyDescent="0.25">
      <c r="A46" s="135">
        <v>45841</v>
      </c>
      <c r="B46" s="133">
        <f t="shared" si="3"/>
        <v>0</v>
      </c>
      <c r="C46" s="81"/>
      <c r="D46" s="140"/>
      <c r="E46" s="140"/>
      <c r="F46" s="140"/>
      <c r="G46" s="140"/>
      <c r="H46" s="142">
        <f>(B46+'No2'!B46+'No3'!B46)/基本資料!$F$3+H45</f>
        <v>0.46647698870909998</v>
      </c>
      <c r="I46">
        <f t="shared" si="8"/>
        <v>0</v>
      </c>
      <c r="J46">
        <f t="shared" si="4"/>
        <v>1</v>
      </c>
      <c r="K46">
        <f t="shared" si="5"/>
        <v>1</v>
      </c>
      <c r="L46">
        <f t="shared" si="6"/>
        <v>1</v>
      </c>
      <c r="M46">
        <f t="shared" si="7"/>
        <v>0</v>
      </c>
    </row>
    <row r="47" spans="1:13" x14ac:dyDescent="0.25">
      <c r="A47" s="135">
        <v>45842</v>
      </c>
      <c r="B47" s="133">
        <f t="shared" si="3"/>
        <v>0</v>
      </c>
      <c r="C47" s="81"/>
      <c r="D47" s="140"/>
      <c r="E47" s="140"/>
      <c r="F47" s="140"/>
      <c r="G47" s="140"/>
      <c r="H47" s="142">
        <f>(B47+'No2'!B47+'No3'!B47)/基本資料!$F$3+H46</f>
        <v>0.46647698870909998</v>
      </c>
      <c r="I47">
        <f t="shared" si="8"/>
        <v>0</v>
      </c>
      <c r="J47">
        <f t="shared" si="4"/>
        <v>1</v>
      </c>
      <c r="K47">
        <f t="shared" si="5"/>
        <v>1</v>
      </c>
      <c r="L47">
        <f t="shared" si="6"/>
        <v>1</v>
      </c>
      <c r="M47">
        <f t="shared" si="7"/>
        <v>0</v>
      </c>
    </row>
    <row r="48" spans="1:13" x14ac:dyDescent="0.25">
      <c r="A48" s="135">
        <v>45843</v>
      </c>
      <c r="B48" s="133">
        <f t="shared" si="3"/>
        <v>0</v>
      </c>
      <c r="C48" s="81"/>
      <c r="D48" s="140"/>
      <c r="E48" s="140"/>
      <c r="F48" s="140"/>
      <c r="G48" s="140"/>
      <c r="H48" s="142">
        <f>(B48+'No2'!B48+'No3'!B48)/基本資料!$F$3+H47</f>
        <v>0.46647698870909998</v>
      </c>
      <c r="I48">
        <f t="shared" si="8"/>
        <v>0</v>
      </c>
      <c r="J48">
        <f t="shared" si="4"/>
        <v>1</v>
      </c>
      <c r="K48">
        <f t="shared" si="5"/>
        <v>1</v>
      </c>
      <c r="L48">
        <f t="shared" si="6"/>
        <v>1</v>
      </c>
      <c r="M48">
        <f t="shared" si="7"/>
        <v>0</v>
      </c>
    </row>
    <row r="49" spans="1:13" x14ac:dyDescent="0.25">
      <c r="A49" s="135">
        <v>45844</v>
      </c>
      <c r="B49" s="133">
        <f t="shared" si="3"/>
        <v>0</v>
      </c>
      <c r="C49" s="81"/>
      <c r="D49" s="140"/>
      <c r="E49" s="140"/>
      <c r="F49" s="140"/>
      <c r="G49" s="140"/>
      <c r="H49" s="142">
        <f>(B49+'No2'!B49+'No3'!B49)/基本資料!$F$3+H48</f>
        <v>0.46647698870909998</v>
      </c>
      <c r="I49">
        <f t="shared" si="8"/>
        <v>0</v>
      </c>
      <c r="J49">
        <f t="shared" si="4"/>
        <v>1</v>
      </c>
      <c r="K49">
        <f t="shared" si="5"/>
        <v>1</v>
      </c>
      <c r="L49">
        <f t="shared" si="6"/>
        <v>1</v>
      </c>
      <c r="M49">
        <f t="shared" si="7"/>
        <v>0</v>
      </c>
    </row>
    <row r="50" spans="1:13" x14ac:dyDescent="0.25">
      <c r="A50" s="135">
        <v>45845</v>
      </c>
      <c r="B50" s="133">
        <f t="shared" si="3"/>
        <v>0</v>
      </c>
      <c r="C50" s="81"/>
      <c r="D50" s="140"/>
      <c r="E50" s="140"/>
      <c r="F50" s="140"/>
      <c r="G50" s="140"/>
      <c r="H50" s="142">
        <f>(B50+'No2'!B50+'No3'!B50)/基本資料!$F$3+H49</f>
        <v>0.46647698870909998</v>
      </c>
      <c r="I50">
        <f t="shared" si="8"/>
        <v>0</v>
      </c>
      <c r="J50">
        <f t="shared" si="4"/>
        <v>1</v>
      </c>
      <c r="K50">
        <f t="shared" si="5"/>
        <v>1</v>
      </c>
      <c r="L50">
        <f t="shared" si="6"/>
        <v>1</v>
      </c>
      <c r="M50">
        <f t="shared" si="7"/>
        <v>0</v>
      </c>
    </row>
    <row r="51" spans="1:13" x14ac:dyDescent="0.25">
      <c r="A51" s="135">
        <v>45846</v>
      </c>
      <c r="B51" s="133">
        <f t="shared" si="3"/>
        <v>0</v>
      </c>
      <c r="C51" s="81"/>
      <c r="D51" s="140"/>
      <c r="E51" s="140"/>
      <c r="F51" s="140"/>
      <c r="G51" s="140"/>
      <c r="H51" s="142">
        <f>(B51+'No2'!B51+'No3'!B51)/基本資料!$F$3+H50</f>
        <v>0.46647698870909998</v>
      </c>
      <c r="I51">
        <f t="shared" si="8"/>
        <v>0</v>
      </c>
      <c r="J51">
        <f t="shared" si="4"/>
        <v>1</v>
      </c>
      <c r="K51">
        <f t="shared" si="5"/>
        <v>1</v>
      </c>
      <c r="L51">
        <f t="shared" si="6"/>
        <v>1</v>
      </c>
      <c r="M51">
        <f t="shared" si="7"/>
        <v>0</v>
      </c>
    </row>
    <row r="52" spans="1:13" x14ac:dyDescent="0.25">
      <c r="A52" s="135">
        <v>45847</v>
      </c>
      <c r="B52" s="133">
        <f t="shared" si="3"/>
        <v>0</v>
      </c>
      <c r="C52" s="81"/>
      <c r="D52" s="140"/>
      <c r="E52" s="140"/>
      <c r="F52" s="140"/>
      <c r="G52" s="140"/>
      <c r="H52" s="142">
        <f>(B52+'No2'!B52+'No3'!B52)/基本資料!$F$3+H51</f>
        <v>0.46647698870909998</v>
      </c>
      <c r="I52">
        <f t="shared" si="8"/>
        <v>0</v>
      </c>
      <c r="J52">
        <f t="shared" si="4"/>
        <v>1</v>
      </c>
      <c r="K52">
        <f t="shared" si="5"/>
        <v>1</v>
      </c>
      <c r="L52">
        <f t="shared" si="6"/>
        <v>1</v>
      </c>
      <c r="M52">
        <f t="shared" si="7"/>
        <v>0</v>
      </c>
    </row>
    <row r="53" spans="1:13" x14ac:dyDescent="0.25">
      <c r="A53" s="135">
        <v>45848</v>
      </c>
      <c r="B53" s="133">
        <f t="shared" si="3"/>
        <v>0</v>
      </c>
      <c r="C53" s="81"/>
      <c r="D53" s="140"/>
      <c r="E53" s="140"/>
      <c r="F53" s="140"/>
      <c r="G53" s="140"/>
      <c r="H53" s="142">
        <f>(B53+'No2'!B53+'No3'!B53)/基本資料!$F$3+H52</f>
        <v>0.46647698870909998</v>
      </c>
      <c r="I53">
        <f t="shared" si="8"/>
        <v>0</v>
      </c>
      <c r="J53">
        <f t="shared" si="4"/>
        <v>1</v>
      </c>
      <c r="K53">
        <f t="shared" si="5"/>
        <v>1</v>
      </c>
      <c r="L53">
        <f t="shared" si="6"/>
        <v>1</v>
      </c>
      <c r="M53">
        <f t="shared" si="7"/>
        <v>0</v>
      </c>
    </row>
    <row r="54" spans="1:13" x14ac:dyDescent="0.25">
      <c r="A54" s="135">
        <v>45849</v>
      </c>
      <c r="B54" s="133">
        <f t="shared" si="3"/>
        <v>0</v>
      </c>
      <c r="C54" s="81"/>
      <c r="D54" s="140"/>
      <c r="E54" s="140"/>
      <c r="F54" s="140"/>
      <c r="G54" s="140"/>
      <c r="H54" s="142">
        <f>(B54+'No2'!B54+'No3'!B54)/基本資料!$F$3+H53</f>
        <v>0.46647698870909998</v>
      </c>
      <c r="I54">
        <f t="shared" si="8"/>
        <v>0</v>
      </c>
      <c r="J54">
        <f t="shared" si="4"/>
        <v>1</v>
      </c>
      <c r="K54">
        <f t="shared" si="5"/>
        <v>1</v>
      </c>
      <c r="L54">
        <f t="shared" si="6"/>
        <v>1</v>
      </c>
      <c r="M54">
        <f t="shared" si="7"/>
        <v>0</v>
      </c>
    </row>
    <row r="55" spans="1:13" x14ac:dyDescent="0.25">
      <c r="A55" s="135">
        <v>45850</v>
      </c>
      <c r="B55" s="133">
        <f t="shared" si="3"/>
        <v>0</v>
      </c>
      <c r="C55" s="81"/>
      <c r="D55" s="140"/>
      <c r="E55" s="140"/>
      <c r="F55" s="140"/>
      <c r="G55" s="140"/>
      <c r="H55" s="142">
        <f>(B55+'No2'!B55+'No3'!B55)/基本資料!$F$3+H54</f>
        <v>0.46647698870909998</v>
      </c>
      <c r="I55">
        <f t="shared" si="8"/>
        <v>0</v>
      </c>
      <c r="J55">
        <f t="shared" si="4"/>
        <v>1</v>
      </c>
      <c r="K55">
        <f t="shared" si="5"/>
        <v>1</v>
      </c>
      <c r="L55">
        <f t="shared" si="6"/>
        <v>1</v>
      </c>
      <c r="M55">
        <f t="shared" si="7"/>
        <v>0</v>
      </c>
    </row>
    <row r="56" spans="1:13" x14ac:dyDescent="0.25">
      <c r="A56" s="135">
        <v>45851</v>
      </c>
      <c r="B56" s="133">
        <f t="shared" si="3"/>
        <v>0</v>
      </c>
      <c r="C56" s="81"/>
      <c r="D56" s="140"/>
      <c r="E56" s="140"/>
      <c r="F56" s="140"/>
      <c r="G56" s="140"/>
      <c r="H56" s="142">
        <f>(B56+'No2'!B56+'No3'!B56)/基本資料!$F$3+H55</f>
        <v>0.46647698870909998</v>
      </c>
      <c r="I56">
        <f t="shared" si="8"/>
        <v>0</v>
      </c>
      <c r="J56">
        <f t="shared" si="4"/>
        <v>1</v>
      </c>
      <c r="K56">
        <f t="shared" si="5"/>
        <v>1</v>
      </c>
      <c r="L56">
        <f t="shared" si="6"/>
        <v>1</v>
      </c>
      <c r="M56">
        <f t="shared" si="7"/>
        <v>0</v>
      </c>
    </row>
    <row r="57" spans="1:13" x14ac:dyDescent="0.25">
      <c r="A57" s="135">
        <v>45852</v>
      </c>
      <c r="B57" s="133">
        <f t="shared" si="3"/>
        <v>0</v>
      </c>
      <c r="C57" s="81"/>
      <c r="D57" s="140"/>
      <c r="E57" s="140"/>
      <c r="F57" s="140"/>
      <c r="G57" s="140"/>
      <c r="H57" s="142">
        <f>(B57+'No2'!B57+'No3'!B57)/基本資料!$F$3+H56</f>
        <v>0.46647698870909998</v>
      </c>
      <c r="I57">
        <f t="shared" si="8"/>
        <v>0</v>
      </c>
      <c r="J57">
        <f t="shared" si="4"/>
        <v>1</v>
      </c>
      <c r="K57">
        <f t="shared" si="5"/>
        <v>1</v>
      </c>
      <c r="L57">
        <f t="shared" si="6"/>
        <v>1</v>
      </c>
      <c r="M57">
        <f t="shared" si="7"/>
        <v>0</v>
      </c>
    </row>
    <row r="58" spans="1:13" x14ac:dyDescent="0.25">
      <c r="A58" s="135">
        <v>45853</v>
      </c>
      <c r="B58" s="133">
        <f t="shared" si="3"/>
        <v>0</v>
      </c>
      <c r="C58" s="81"/>
      <c r="D58" s="140"/>
      <c r="E58" s="140"/>
      <c r="F58" s="140"/>
      <c r="G58" s="140"/>
      <c r="H58" s="142">
        <f>(B58+'No2'!B58+'No3'!B58)/基本資料!$F$3+H57</f>
        <v>0.46647698870909998</v>
      </c>
      <c r="I58">
        <f t="shared" si="8"/>
        <v>0</v>
      </c>
      <c r="J58">
        <f t="shared" si="4"/>
        <v>1</v>
      </c>
      <c r="K58">
        <f t="shared" si="5"/>
        <v>1</v>
      </c>
      <c r="L58">
        <f t="shared" si="6"/>
        <v>1</v>
      </c>
      <c r="M58">
        <f t="shared" si="7"/>
        <v>0</v>
      </c>
    </row>
    <row r="59" spans="1:13" x14ac:dyDescent="0.25">
      <c r="A59" s="135">
        <v>45854</v>
      </c>
      <c r="B59" s="133">
        <f t="shared" si="3"/>
        <v>0</v>
      </c>
      <c r="C59" s="81"/>
      <c r="D59" s="140"/>
      <c r="E59" s="140"/>
      <c r="F59" s="140"/>
      <c r="G59" s="140"/>
      <c r="H59" s="142">
        <f>(B59+'No2'!B59+'No3'!B59)/基本資料!$F$3+H58</f>
        <v>0.46647698870909998</v>
      </c>
      <c r="I59">
        <f t="shared" si="8"/>
        <v>0</v>
      </c>
      <c r="J59">
        <f t="shared" si="4"/>
        <v>1</v>
      </c>
      <c r="K59">
        <f t="shared" si="5"/>
        <v>1</v>
      </c>
      <c r="L59">
        <f t="shared" si="6"/>
        <v>1</v>
      </c>
      <c r="M59">
        <f t="shared" si="7"/>
        <v>0</v>
      </c>
    </row>
    <row r="60" spans="1:13" x14ac:dyDescent="0.25">
      <c r="A60" s="135">
        <v>45855</v>
      </c>
      <c r="B60" s="133">
        <f t="shared" si="3"/>
        <v>0</v>
      </c>
      <c r="C60" s="81"/>
      <c r="D60" s="140"/>
      <c r="E60" s="140"/>
      <c r="F60" s="140"/>
      <c r="G60" s="140"/>
      <c r="H60" s="142">
        <f>(B60+'No2'!B60+'No3'!B60)/基本資料!$F$3+H59</f>
        <v>0.46647698870909998</v>
      </c>
      <c r="I60">
        <f t="shared" si="8"/>
        <v>0</v>
      </c>
      <c r="J60">
        <f t="shared" si="4"/>
        <v>1</v>
      </c>
      <c r="K60">
        <f t="shared" si="5"/>
        <v>1</v>
      </c>
      <c r="L60">
        <f t="shared" si="6"/>
        <v>1</v>
      </c>
      <c r="M60">
        <f t="shared" si="7"/>
        <v>0</v>
      </c>
    </row>
    <row r="61" spans="1:13" x14ac:dyDescent="0.25">
      <c r="A61" s="135">
        <v>45856</v>
      </c>
      <c r="B61" s="133">
        <f t="shared" si="3"/>
        <v>0</v>
      </c>
      <c r="C61" s="81"/>
      <c r="D61" s="140"/>
      <c r="E61" s="140"/>
      <c r="F61" s="140"/>
      <c r="G61" s="140"/>
      <c r="H61" s="142">
        <f>(B61+'No2'!B61+'No3'!B61)/基本資料!$F$3+H60</f>
        <v>0.46647698870909998</v>
      </c>
      <c r="I61">
        <f t="shared" si="8"/>
        <v>0</v>
      </c>
      <c r="J61">
        <f t="shared" si="4"/>
        <v>1</v>
      </c>
      <c r="K61">
        <f t="shared" si="5"/>
        <v>1</v>
      </c>
      <c r="L61">
        <f t="shared" si="6"/>
        <v>1</v>
      </c>
      <c r="M61">
        <f t="shared" si="7"/>
        <v>0</v>
      </c>
    </row>
    <row r="62" spans="1:13" x14ac:dyDescent="0.25">
      <c r="A62" s="135">
        <v>45857</v>
      </c>
      <c r="B62" s="133">
        <f t="shared" si="3"/>
        <v>0</v>
      </c>
      <c r="C62" s="81"/>
      <c r="D62" s="140"/>
      <c r="E62" s="140"/>
      <c r="F62" s="140"/>
      <c r="G62" s="140"/>
      <c r="H62" s="142">
        <f>(B62+'No2'!B62+'No3'!B62)/基本資料!$F$3+H61</f>
        <v>0.46647698870909998</v>
      </c>
      <c r="I62">
        <f t="shared" si="8"/>
        <v>0</v>
      </c>
      <c r="J62">
        <f t="shared" si="4"/>
        <v>1</v>
      </c>
      <c r="K62">
        <f t="shared" si="5"/>
        <v>1</v>
      </c>
      <c r="L62">
        <f t="shared" si="6"/>
        <v>1</v>
      </c>
      <c r="M62">
        <f t="shared" si="7"/>
        <v>0</v>
      </c>
    </row>
    <row r="63" spans="1:13" x14ac:dyDescent="0.25">
      <c r="A63" s="135">
        <v>45858</v>
      </c>
      <c r="B63" s="133">
        <f t="shared" si="3"/>
        <v>0</v>
      </c>
      <c r="C63" s="81"/>
      <c r="D63" s="140"/>
      <c r="E63" s="140"/>
      <c r="F63" s="140"/>
      <c r="G63" s="140"/>
      <c r="H63" s="142">
        <f>(B63+'No2'!B63+'No3'!B63)/基本資料!$F$3+H62</f>
        <v>0.46647698870909998</v>
      </c>
      <c r="I63">
        <f t="shared" si="8"/>
        <v>0</v>
      </c>
      <c r="J63">
        <f t="shared" si="4"/>
        <v>1</v>
      </c>
      <c r="K63">
        <f t="shared" si="5"/>
        <v>1</v>
      </c>
      <c r="L63">
        <f t="shared" si="6"/>
        <v>1</v>
      </c>
      <c r="M63">
        <f t="shared" si="7"/>
        <v>0</v>
      </c>
    </row>
    <row r="64" spans="1:13" x14ac:dyDescent="0.25">
      <c r="A64" s="135">
        <v>45859</v>
      </c>
      <c r="B64" s="133">
        <f t="shared" si="3"/>
        <v>0</v>
      </c>
      <c r="C64" s="81"/>
      <c r="D64" s="140"/>
      <c r="E64" s="140"/>
      <c r="F64" s="140"/>
      <c r="G64" s="140"/>
      <c r="H64" s="142">
        <f>(B64+'No2'!B64+'No3'!B64)/基本資料!$F$3+H63</f>
        <v>0.46647698870909998</v>
      </c>
      <c r="I64">
        <f t="shared" si="8"/>
        <v>0</v>
      </c>
      <c r="J64">
        <f t="shared" si="4"/>
        <v>1</v>
      </c>
      <c r="K64">
        <f t="shared" si="5"/>
        <v>1</v>
      </c>
      <c r="L64">
        <f t="shared" si="6"/>
        <v>1</v>
      </c>
      <c r="M64">
        <f t="shared" si="7"/>
        <v>0</v>
      </c>
    </row>
    <row r="65" spans="1:13" x14ac:dyDescent="0.25">
      <c r="A65" s="135">
        <v>45860</v>
      </c>
      <c r="B65" s="133">
        <f t="shared" si="3"/>
        <v>0</v>
      </c>
      <c r="C65" s="81"/>
      <c r="D65" s="140"/>
      <c r="E65" s="140"/>
      <c r="F65" s="140"/>
      <c r="G65" s="140"/>
      <c r="H65" s="142">
        <f>(B65+'No2'!B65+'No3'!B65)/基本資料!$F$3+H64</f>
        <v>0.46647698870909998</v>
      </c>
      <c r="I65">
        <f t="shared" si="8"/>
        <v>0</v>
      </c>
      <c r="J65">
        <f t="shared" si="4"/>
        <v>1</v>
      </c>
      <c r="K65">
        <f t="shared" si="5"/>
        <v>1</v>
      </c>
      <c r="L65">
        <f t="shared" si="6"/>
        <v>1</v>
      </c>
      <c r="M65">
        <f t="shared" si="7"/>
        <v>0</v>
      </c>
    </row>
    <row r="66" spans="1:13" x14ac:dyDescent="0.25">
      <c r="A66" s="135">
        <v>45861</v>
      </c>
      <c r="B66" s="133">
        <f t="shared" si="3"/>
        <v>0</v>
      </c>
      <c r="C66" s="81"/>
      <c r="D66" s="140"/>
      <c r="E66" s="140"/>
      <c r="F66" s="140"/>
      <c r="G66" s="140"/>
      <c r="H66" s="142">
        <f>(B66+'No2'!B66+'No3'!B66)/基本資料!$F$3+H65</f>
        <v>0.46647698870909998</v>
      </c>
      <c r="I66">
        <f t="shared" si="8"/>
        <v>0</v>
      </c>
      <c r="J66">
        <f t="shared" si="4"/>
        <v>1</v>
      </c>
      <c r="K66">
        <f t="shared" si="5"/>
        <v>1</v>
      </c>
      <c r="L66">
        <f t="shared" si="6"/>
        <v>1</v>
      </c>
      <c r="M66">
        <f t="shared" si="7"/>
        <v>0</v>
      </c>
    </row>
    <row r="67" spans="1:13" x14ac:dyDescent="0.25">
      <c r="A67" s="135">
        <v>45862</v>
      </c>
      <c r="B67" s="133">
        <f t="shared" si="3"/>
        <v>0</v>
      </c>
      <c r="C67" s="81"/>
      <c r="D67" s="140"/>
      <c r="E67" s="140"/>
      <c r="F67" s="140"/>
      <c r="G67" s="140"/>
      <c r="H67" s="142">
        <f>(B67+'No2'!B67+'No3'!B67)/基本資料!$F$3+H66</f>
        <v>0.46647698870909998</v>
      </c>
      <c r="I67">
        <f t="shared" si="8"/>
        <v>0</v>
      </c>
      <c r="J67">
        <f t="shared" si="4"/>
        <v>1</v>
      </c>
      <c r="K67">
        <f t="shared" si="5"/>
        <v>1</v>
      </c>
      <c r="L67">
        <f t="shared" si="6"/>
        <v>1</v>
      </c>
      <c r="M67">
        <f t="shared" si="7"/>
        <v>0</v>
      </c>
    </row>
    <row r="68" spans="1:13" x14ac:dyDescent="0.25">
      <c r="A68" s="135">
        <v>45863</v>
      </c>
      <c r="B68" s="133">
        <f t="shared" si="3"/>
        <v>0</v>
      </c>
      <c r="C68" s="81"/>
      <c r="D68" s="140"/>
      <c r="E68" s="140"/>
      <c r="F68" s="140"/>
      <c r="G68" s="140"/>
      <c r="H68" s="142">
        <f>(B68+'No2'!B68+'No3'!B68)/基本資料!$F$3+H67</f>
        <v>0.46647698870909998</v>
      </c>
      <c r="I68">
        <f t="shared" si="8"/>
        <v>0</v>
      </c>
      <c r="J68">
        <f t="shared" si="4"/>
        <v>1</v>
      </c>
      <c r="K68">
        <f t="shared" si="5"/>
        <v>1</v>
      </c>
      <c r="L68">
        <f t="shared" si="6"/>
        <v>1</v>
      </c>
      <c r="M68">
        <f t="shared" si="7"/>
        <v>0</v>
      </c>
    </row>
    <row r="69" spans="1:13" x14ac:dyDescent="0.25">
      <c r="A69" s="135">
        <v>45864</v>
      </c>
      <c r="B69" s="133">
        <f t="shared" si="3"/>
        <v>0</v>
      </c>
      <c r="C69" s="81"/>
      <c r="D69" s="140"/>
      <c r="E69" s="140"/>
      <c r="F69" s="140"/>
      <c r="G69" s="140"/>
      <c r="H69" s="142">
        <f>(B69+'No2'!B69+'No3'!B69)/基本資料!$F$3+H68</f>
        <v>0.46647698870909998</v>
      </c>
      <c r="I69">
        <f t="shared" si="8"/>
        <v>0</v>
      </c>
      <c r="J69">
        <f t="shared" si="4"/>
        <v>1</v>
      </c>
      <c r="K69">
        <f t="shared" si="5"/>
        <v>1</v>
      </c>
      <c r="L69">
        <f t="shared" si="6"/>
        <v>1</v>
      </c>
      <c r="M69">
        <f t="shared" si="7"/>
        <v>0</v>
      </c>
    </row>
    <row r="70" spans="1:13" x14ac:dyDescent="0.25">
      <c r="A70" s="135">
        <v>45865</v>
      </c>
      <c r="B70" s="133">
        <f t="shared" si="3"/>
        <v>0</v>
      </c>
      <c r="C70" s="81"/>
      <c r="D70" s="140"/>
      <c r="E70" s="140"/>
      <c r="F70" s="140"/>
      <c r="G70" s="140"/>
      <c r="H70" s="142">
        <f>(B70+'No2'!B70+'No3'!B70)/基本資料!$F$3+H69</f>
        <v>0.46647698870909998</v>
      </c>
      <c r="I70">
        <f t="shared" si="8"/>
        <v>0</v>
      </c>
      <c r="J70">
        <f t="shared" si="4"/>
        <v>1</v>
      </c>
      <c r="K70">
        <f t="shared" si="5"/>
        <v>1</v>
      </c>
      <c r="L70">
        <f t="shared" si="6"/>
        <v>1</v>
      </c>
      <c r="M70">
        <f t="shared" si="7"/>
        <v>0</v>
      </c>
    </row>
    <row r="71" spans="1:13" x14ac:dyDescent="0.25">
      <c r="A71" s="135">
        <v>45866</v>
      </c>
      <c r="B71" s="133">
        <f t="shared" si="3"/>
        <v>0</v>
      </c>
      <c r="C71" s="81"/>
      <c r="D71" s="140"/>
      <c r="E71" s="140"/>
      <c r="F71" s="140"/>
      <c r="G71" s="140"/>
      <c r="H71" s="142">
        <f>(B71+'No2'!B71+'No3'!B71)/基本資料!$F$3+H70</f>
        <v>0.46647698870909998</v>
      </c>
      <c r="I71">
        <f t="shared" si="8"/>
        <v>0</v>
      </c>
      <c r="J71">
        <f t="shared" si="4"/>
        <v>1</v>
      </c>
      <c r="K71">
        <f t="shared" si="5"/>
        <v>1</v>
      </c>
      <c r="L71">
        <f t="shared" si="6"/>
        <v>1</v>
      </c>
      <c r="M71">
        <f t="shared" si="7"/>
        <v>0</v>
      </c>
    </row>
    <row r="72" spans="1:13" x14ac:dyDescent="0.25">
      <c r="A72" s="135">
        <v>45867</v>
      </c>
      <c r="B72" s="133">
        <f t="shared" si="3"/>
        <v>0</v>
      </c>
      <c r="C72" s="81"/>
      <c r="D72" s="140"/>
      <c r="E72" s="140"/>
      <c r="F72" s="140"/>
      <c r="G72" s="140"/>
      <c r="H72" s="142">
        <f>(B72+'No2'!B72+'No3'!B72)/基本資料!$F$3+H71</f>
        <v>0.46647698870909998</v>
      </c>
      <c r="I72">
        <f t="shared" si="8"/>
        <v>0</v>
      </c>
      <c r="J72">
        <f t="shared" si="4"/>
        <v>1</v>
      </c>
      <c r="K72">
        <f t="shared" si="5"/>
        <v>1</v>
      </c>
      <c r="L72">
        <f t="shared" si="6"/>
        <v>1</v>
      </c>
      <c r="M72">
        <f t="shared" si="7"/>
        <v>0</v>
      </c>
    </row>
    <row r="73" spans="1:13" x14ac:dyDescent="0.25">
      <c r="A73" s="135">
        <v>45868</v>
      </c>
      <c r="B73" s="133">
        <f t="shared" ref="B73:B127" si="9">SUMPRODUCT($C$3:$G$3,C73:G73)</f>
        <v>0</v>
      </c>
      <c r="C73" s="81"/>
      <c r="D73" s="140"/>
      <c r="E73" s="140"/>
      <c r="F73" s="140"/>
      <c r="G73" s="140"/>
      <c r="H73" s="142">
        <f>(B73+'No2'!B73+'No3'!B73)/基本資料!$F$3+H72</f>
        <v>0.46647698870909998</v>
      </c>
      <c r="I73">
        <f t="shared" si="8"/>
        <v>0</v>
      </c>
      <c r="J73">
        <f t="shared" ref="J73:J127" si="10">D73+J72</f>
        <v>1</v>
      </c>
      <c r="K73">
        <f t="shared" ref="K73:K127" si="11">E73+K72</f>
        <v>1</v>
      </c>
      <c r="L73">
        <f t="shared" ref="L73:L127" si="12">F73+L72</f>
        <v>1</v>
      </c>
      <c r="M73">
        <f t="shared" ref="M73:M127" si="13">G73+M72</f>
        <v>0</v>
      </c>
    </row>
    <row r="74" spans="1:13" x14ac:dyDescent="0.25">
      <c r="A74" s="135">
        <v>45869</v>
      </c>
      <c r="B74" s="133">
        <f t="shared" si="9"/>
        <v>0</v>
      </c>
      <c r="C74" s="81"/>
      <c r="D74" s="140"/>
      <c r="E74" s="140"/>
      <c r="F74" s="140"/>
      <c r="G74" s="140"/>
      <c r="H74" s="142">
        <f>(B74+'No2'!B74+'No3'!B74)/基本資料!$F$3+H73</f>
        <v>0.46647698870909998</v>
      </c>
      <c r="I74">
        <f t="shared" ref="I74:I127" si="14">C74+I73</f>
        <v>0</v>
      </c>
      <c r="J74">
        <f t="shared" si="10"/>
        <v>1</v>
      </c>
      <c r="K74">
        <f t="shared" si="11"/>
        <v>1</v>
      </c>
      <c r="L74">
        <f t="shared" si="12"/>
        <v>1</v>
      </c>
      <c r="M74">
        <f t="shared" si="13"/>
        <v>0</v>
      </c>
    </row>
    <row r="75" spans="1:13" x14ac:dyDescent="0.25">
      <c r="A75" s="135">
        <v>45870</v>
      </c>
      <c r="B75" s="133">
        <f t="shared" si="9"/>
        <v>0</v>
      </c>
      <c r="C75" s="81"/>
      <c r="D75" s="140"/>
      <c r="E75" s="140"/>
      <c r="F75" s="140"/>
      <c r="G75" s="140"/>
      <c r="H75" s="142">
        <f>(B75+'No2'!B75+'No3'!B75)/基本資料!$F$3+H74</f>
        <v>0.46647698870909998</v>
      </c>
      <c r="I75">
        <f t="shared" si="14"/>
        <v>0</v>
      </c>
      <c r="J75">
        <f t="shared" si="10"/>
        <v>1</v>
      </c>
      <c r="K75">
        <f t="shared" si="11"/>
        <v>1</v>
      </c>
      <c r="L75">
        <f t="shared" si="12"/>
        <v>1</v>
      </c>
      <c r="M75">
        <f t="shared" si="13"/>
        <v>0</v>
      </c>
    </row>
    <row r="76" spans="1:13" x14ac:dyDescent="0.25">
      <c r="A76" s="135">
        <v>45871</v>
      </c>
      <c r="B76" s="133">
        <f t="shared" si="9"/>
        <v>0</v>
      </c>
      <c r="C76" s="81"/>
      <c r="D76" s="140"/>
      <c r="E76" s="140"/>
      <c r="F76" s="140"/>
      <c r="G76" s="140"/>
      <c r="H76" s="142">
        <f>(B76+'No2'!B76+'No3'!B76)/基本資料!$F$3+H75</f>
        <v>0.46647698870909998</v>
      </c>
      <c r="I76">
        <f t="shared" si="14"/>
        <v>0</v>
      </c>
      <c r="J76">
        <f t="shared" si="10"/>
        <v>1</v>
      </c>
      <c r="K76">
        <f t="shared" si="11"/>
        <v>1</v>
      </c>
      <c r="L76">
        <f t="shared" si="12"/>
        <v>1</v>
      </c>
      <c r="M76">
        <f t="shared" si="13"/>
        <v>0</v>
      </c>
    </row>
    <row r="77" spans="1:13" x14ac:dyDescent="0.25">
      <c r="A77" s="135">
        <v>45872</v>
      </c>
      <c r="B77" s="133">
        <f t="shared" si="9"/>
        <v>0</v>
      </c>
      <c r="C77" s="81"/>
      <c r="D77" s="140"/>
      <c r="E77" s="140"/>
      <c r="F77" s="140"/>
      <c r="G77" s="140"/>
      <c r="H77" s="142">
        <f>(B77+'No2'!B77+'No3'!B77)/基本資料!$F$3+H76</f>
        <v>0.46647698870909998</v>
      </c>
      <c r="I77">
        <f t="shared" si="14"/>
        <v>0</v>
      </c>
      <c r="J77">
        <f t="shared" si="10"/>
        <v>1</v>
      </c>
      <c r="K77">
        <f t="shared" si="11"/>
        <v>1</v>
      </c>
      <c r="L77">
        <f t="shared" si="12"/>
        <v>1</v>
      </c>
      <c r="M77">
        <f t="shared" si="13"/>
        <v>0</v>
      </c>
    </row>
    <row r="78" spans="1:13" x14ac:dyDescent="0.25">
      <c r="A78" s="135">
        <v>45873</v>
      </c>
      <c r="B78" s="133">
        <f t="shared" si="9"/>
        <v>0</v>
      </c>
      <c r="C78" s="81"/>
      <c r="D78" s="140"/>
      <c r="E78" s="140"/>
      <c r="F78" s="140"/>
      <c r="G78" s="140"/>
      <c r="H78" s="142">
        <f>(B78+'No2'!B78+'No3'!B78)/基本資料!$F$3+H77</f>
        <v>0.46647698870909998</v>
      </c>
      <c r="I78">
        <f t="shared" si="14"/>
        <v>0</v>
      </c>
      <c r="J78">
        <f t="shared" si="10"/>
        <v>1</v>
      </c>
      <c r="K78">
        <f t="shared" si="11"/>
        <v>1</v>
      </c>
      <c r="L78">
        <f t="shared" si="12"/>
        <v>1</v>
      </c>
      <c r="M78">
        <f t="shared" si="13"/>
        <v>0</v>
      </c>
    </row>
    <row r="79" spans="1:13" x14ac:dyDescent="0.25">
      <c r="A79" s="135">
        <v>45874</v>
      </c>
      <c r="B79" s="133">
        <f t="shared" si="9"/>
        <v>0</v>
      </c>
      <c r="C79" s="81"/>
      <c r="D79" s="140"/>
      <c r="E79" s="140"/>
      <c r="F79" s="140"/>
      <c r="G79" s="140"/>
      <c r="H79" s="142">
        <f>(B79+'No2'!B79+'No3'!B79)/基本資料!$F$3+H78</f>
        <v>0.46647698870909998</v>
      </c>
      <c r="I79">
        <f t="shared" si="14"/>
        <v>0</v>
      </c>
      <c r="J79">
        <f t="shared" si="10"/>
        <v>1</v>
      </c>
      <c r="K79">
        <f t="shared" si="11"/>
        <v>1</v>
      </c>
      <c r="L79">
        <f t="shared" si="12"/>
        <v>1</v>
      </c>
      <c r="M79">
        <f t="shared" si="13"/>
        <v>0</v>
      </c>
    </row>
    <row r="80" spans="1:13" x14ac:dyDescent="0.25">
      <c r="A80" s="135">
        <v>45875</v>
      </c>
      <c r="B80" s="133">
        <f t="shared" si="9"/>
        <v>0</v>
      </c>
      <c r="C80" s="81"/>
      <c r="D80" s="140"/>
      <c r="E80" s="140"/>
      <c r="F80" s="140"/>
      <c r="G80" s="140"/>
      <c r="H80" s="142">
        <f>(B80+'No2'!B80+'No3'!B80)/基本資料!$F$3+H79</f>
        <v>0.46647698870909998</v>
      </c>
      <c r="I80">
        <f t="shared" si="14"/>
        <v>0</v>
      </c>
      <c r="J80">
        <f t="shared" si="10"/>
        <v>1</v>
      </c>
      <c r="K80">
        <f t="shared" si="11"/>
        <v>1</v>
      </c>
      <c r="L80">
        <f t="shared" si="12"/>
        <v>1</v>
      </c>
      <c r="M80">
        <f t="shared" si="13"/>
        <v>0</v>
      </c>
    </row>
    <row r="81" spans="1:13" x14ac:dyDescent="0.25">
      <c r="A81" s="135">
        <v>45876</v>
      </c>
      <c r="B81" s="133">
        <f t="shared" si="9"/>
        <v>0</v>
      </c>
      <c r="C81" s="81"/>
      <c r="D81" s="140"/>
      <c r="E81" s="140"/>
      <c r="F81" s="140"/>
      <c r="G81" s="140"/>
      <c r="H81" s="142">
        <f>(B81+'No2'!B81+'No3'!B81)/基本資料!$F$3+H80</f>
        <v>0.46647698870909998</v>
      </c>
      <c r="I81">
        <f t="shared" si="14"/>
        <v>0</v>
      </c>
      <c r="J81">
        <f t="shared" si="10"/>
        <v>1</v>
      </c>
      <c r="K81">
        <f t="shared" si="11"/>
        <v>1</v>
      </c>
      <c r="L81">
        <f t="shared" si="12"/>
        <v>1</v>
      </c>
      <c r="M81">
        <f t="shared" si="13"/>
        <v>0</v>
      </c>
    </row>
    <row r="82" spans="1:13" x14ac:dyDescent="0.25">
      <c r="A82" s="135">
        <v>45877</v>
      </c>
      <c r="B82" s="133">
        <f t="shared" si="9"/>
        <v>0</v>
      </c>
      <c r="C82" s="81"/>
      <c r="D82" s="140"/>
      <c r="E82" s="140"/>
      <c r="F82" s="140"/>
      <c r="G82" s="140"/>
      <c r="H82" s="142">
        <f>(B82+'No2'!B82+'No3'!B82)/基本資料!$F$3+H81</f>
        <v>0.46647698870909998</v>
      </c>
      <c r="I82">
        <f t="shared" si="14"/>
        <v>0</v>
      </c>
      <c r="J82">
        <f t="shared" si="10"/>
        <v>1</v>
      </c>
      <c r="K82">
        <f t="shared" si="11"/>
        <v>1</v>
      </c>
      <c r="L82">
        <f t="shared" si="12"/>
        <v>1</v>
      </c>
      <c r="M82">
        <f t="shared" si="13"/>
        <v>0</v>
      </c>
    </row>
    <row r="83" spans="1:13" x14ac:dyDescent="0.25">
      <c r="A83" s="135">
        <v>45878</v>
      </c>
      <c r="B83" s="133">
        <f t="shared" si="9"/>
        <v>0</v>
      </c>
      <c r="C83" s="81"/>
      <c r="D83" s="140"/>
      <c r="E83" s="140"/>
      <c r="F83" s="140"/>
      <c r="G83" s="140"/>
      <c r="H83" s="142">
        <f>(B83+'No2'!B83+'No3'!B83)/基本資料!$F$3+H82</f>
        <v>0.46647698870909998</v>
      </c>
      <c r="I83">
        <f t="shared" si="14"/>
        <v>0</v>
      </c>
      <c r="J83">
        <f t="shared" si="10"/>
        <v>1</v>
      </c>
      <c r="K83">
        <f t="shared" si="11"/>
        <v>1</v>
      </c>
      <c r="L83">
        <f t="shared" si="12"/>
        <v>1</v>
      </c>
      <c r="M83">
        <f t="shared" si="13"/>
        <v>0</v>
      </c>
    </row>
    <row r="84" spans="1:13" x14ac:dyDescent="0.25">
      <c r="A84" s="135">
        <v>45879</v>
      </c>
      <c r="B84" s="133">
        <f t="shared" si="9"/>
        <v>0</v>
      </c>
      <c r="C84" s="81"/>
      <c r="D84" s="140"/>
      <c r="E84" s="140"/>
      <c r="F84" s="140"/>
      <c r="G84" s="140"/>
      <c r="H84" s="142">
        <f>(B84+'No2'!B84+'No3'!B84)/基本資料!$F$3+H83</f>
        <v>0.46647698870909998</v>
      </c>
      <c r="I84">
        <f t="shared" si="14"/>
        <v>0</v>
      </c>
      <c r="J84">
        <f t="shared" si="10"/>
        <v>1</v>
      </c>
      <c r="K84">
        <f t="shared" si="11"/>
        <v>1</v>
      </c>
      <c r="L84">
        <f t="shared" si="12"/>
        <v>1</v>
      </c>
      <c r="M84">
        <f t="shared" si="13"/>
        <v>0</v>
      </c>
    </row>
    <row r="85" spans="1:13" x14ac:dyDescent="0.25">
      <c r="A85" s="135">
        <v>45880</v>
      </c>
      <c r="B85" s="133">
        <f t="shared" si="9"/>
        <v>0</v>
      </c>
      <c r="C85" s="81"/>
      <c r="D85" s="140"/>
      <c r="E85" s="140"/>
      <c r="F85" s="140"/>
      <c r="G85" s="140"/>
      <c r="H85" s="142">
        <f>(B85+'No2'!B85+'No3'!B85)/基本資料!$F$3+H84</f>
        <v>0.46647698870909998</v>
      </c>
      <c r="I85">
        <f t="shared" si="14"/>
        <v>0</v>
      </c>
      <c r="J85">
        <f t="shared" si="10"/>
        <v>1</v>
      </c>
      <c r="K85">
        <f t="shared" si="11"/>
        <v>1</v>
      </c>
      <c r="L85">
        <f t="shared" si="12"/>
        <v>1</v>
      </c>
      <c r="M85">
        <f t="shared" si="13"/>
        <v>0</v>
      </c>
    </row>
    <row r="86" spans="1:13" x14ac:dyDescent="0.25">
      <c r="A86" s="135">
        <v>45881</v>
      </c>
      <c r="B86" s="133">
        <f t="shared" si="9"/>
        <v>0</v>
      </c>
      <c r="C86" s="81"/>
      <c r="D86" s="140"/>
      <c r="E86" s="140"/>
      <c r="F86" s="140"/>
      <c r="G86" s="140"/>
      <c r="H86" s="142">
        <f>(B86+'No2'!B86+'No3'!B86)/基本資料!$F$3+H85</f>
        <v>0.46647698870909998</v>
      </c>
      <c r="I86">
        <f t="shared" si="14"/>
        <v>0</v>
      </c>
      <c r="J86">
        <f t="shared" si="10"/>
        <v>1</v>
      </c>
      <c r="K86">
        <f t="shared" si="11"/>
        <v>1</v>
      </c>
      <c r="L86">
        <f t="shared" si="12"/>
        <v>1</v>
      </c>
      <c r="M86">
        <f t="shared" si="13"/>
        <v>0</v>
      </c>
    </row>
    <row r="87" spans="1:13" x14ac:dyDescent="0.25">
      <c r="A87" s="135">
        <v>45882</v>
      </c>
      <c r="B87" s="133">
        <f t="shared" si="9"/>
        <v>0</v>
      </c>
      <c r="C87" s="81"/>
      <c r="D87" s="140"/>
      <c r="E87" s="140"/>
      <c r="F87" s="140"/>
      <c r="G87" s="140"/>
      <c r="H87" s="142">
        <f>(B87+'No2'!B87+'No3'!B87)/基本資料!$F$3+H86</f>
        <v>0.46647698870909998</v>
      </c>
      <c r="I87">
        <f t="shared" si="14"/>
        <v>0</v>
      </c>
      <c r="J87">
        <f t="shared" si="10"/>
        <v>1</v>
      </c>
      <c r="K87">
        <f t="shared" si="11"/>
        <v>1</v>
      </c>
      <c r="L87">
        <f t="shared" si="12"/>
        <v>1</v>
      </c>
      <c r="M87">
        <f t="shared" si="13"/>
        <v>0</v>
      </c>
    </row>
    <row r="88" spans="1:13" x14ac:dyDescent="0.25">
      <c r="A88" s="135">
        <v>45883</v>
      </c>
      <c r="B88" s="133">
        <f t="shared" si="9"/>
        <v>0</v>
      </c>
      <c r="C88" s="81"/>
      <c r="D88" s="140"/>
      <c r="E88" s="140"/>
      <c r="F88" s="140"/>
      <c r="G88" s="140"/>
      <c r="H88" s="142">
        <f>(B88+'No2'!B88+'No3'!B88)/基本資料!$F$3+H87</f>
        <v>0.46647698870909998</v>
      </c>
      <c r="I88">
        <f t="shared" si="14"/>
        <v>0</v>
      </c>
      <c r="J88">
        <f t="shared" si="10"/>
        <v>1</v>
      </c>
      <c r="K88">
        <f t="shared" si="11"/>
        <v>1</v>
      </c>
      <c r="L88">
        <f t="shared" si="12"/>
        <v>1</v>
      </c>
      <c r="M88">
        <f t="shared" si="13"/>
        <v>0</v>
      </c>
    </row>
    <row r="89" spans="1:13" x14ac:dyDescent="0.25">
      <c r="A89" s="135">
        <v>45884</v>
      </c>
      <c r="B89" s="133">
        <f t="shared" si="9"/>
        <v>0</v>
      </c>
      <c r="C89" s="81"/>
      <c r="D89" s="140"/>
      <c r="E89" s="140"/>
      <c r="F89" s="140"/>
      <c r="G89" s="140"/>
      <c r="H89" s="142">
        <f>(B89+'No2'!B89+'No3'!B89)/基本資料!$F$3+H88</f>
        <v>0.46647698870909998</v>
      </c>
      <c r="I89">
        <f t="shared" si="14"/>
        <v>0</v>
      </c>
      <c r="J89">
        <f t="shared" si="10"/>
        <v>1</v>
      </c>
      <c r="K89">
        <f t="shared" si="11"/>
        <v>1</v>
      </c>
      <c r="L89">
        <f t="shared" si="12"/>
        <v>1</v>
      </c>
      <c r="M89">
        <f t="shared" si="13"/>
        <v>0</v>
      </c>
    </row>
    <row r="90" spans="1:13" x14ac:dyDescent="0.25">
      <c r="A90" s="135">
        <v>45885</v>
      </c>
      <c r="B90" s="133">
        <f t="shared" si="9"/>
        <v>0</v>
      </c>
      <c r="C90" s="81"/>
      <c r="D90" s="140"/>
      <c r="E90" s="140"/>
      <c r="F90" s="140"/>
      <c r="G90" s="140"/>
      <c r="H90" s="142">
        <f>(B90+'No2'!B90+'No3'!B90)/基本資料!$F$3+H89</f>
        <v>0.46647698870909998</v>
      </c>
      <c r="I90">
        <f t="shared" si="14"/>
        <v>0</v>
      </c>
      <c r="J90">
        <f t="shared" si="10"/>
        <v>1</v>
      </c>
      <c r="K90">
        <f t="shared" si="11"/>
        <v>1</v>
      </c>
      <c r="L90">
        <f t="shared" si="12"/>
        <v>1</v>
      </c>
      <c r="M90">
        <f t="shared" si="13"/>
        <v>0</v>
      </c>
    </row>
    <row r="91" spans="1:13" x14ac:dyDescent="0.25">
      <c r="A91" s="135">
        <v>45886</v>
      </c>
      <c r="B91" s="133">
        <f t="shared" si="9"/>
        <v>0</v>
      </c>
      <c r="C91" s="81"/>
      <c r="D91" s="140"/>
      <c r="E91" s="140"/>
      <c r="F91" s="140"/>
      <c r="G91" s="140"/>
      <c r="H91" s="142">
        <f>(B91+'No2'!B91+'No3'!B91)/基本資料!$F$3+H90</f>
        <v>0.46647698870909998</v>
      </c>
      <c r="I91">
        <f t="shared" si="14"/>
        <v>0</v>
      </c>
      <c r="J91">
        <f t="shared" si="10"/>
        <v>1</v>
      </c>
      <c r="K91">
        <f t="shared" si="11"/>
        <v>1</v>
      </c>
      <c r="L91">
        <f t="shared" si="12"/>
        <v>1</v>
      </c>
      <c r="M91">
        <f t="shared" si="13"/>
        <v>0</v>
      </c>
    </row>
    <row r="92" spans="1:13" x14ac:dyDescent="0.25">
      <c r="A92" s="135">
        <v>45887</v>
      </c>
      <c r="B92" s="133">
        <f t="shared" si="9"/>
        <v>0</v>
      </c>
      <c r="C92" s="81"/>
      <c r="D92" s="140"/>
      <c r="E92" s="140"/>
      <c r="F92" s="140"/>
      <c r="G92" s="140"/>
      <c r="H92" s="142">
        <f>(B92+'No2'!B92+'No3'!B92)/基本資料!$F$3+H91</f>
        <v>0.46647698870909998</v>
      </c>
      <c r="I92">
        <f t="shared" si="14"/>
        <v>0</v>
      </c>
      <c r="J92">
        <f t="shared" si="10"/>
        <v>1</v>
      </c>
      <c r="K92">
        <f t="shared" si="11"/>
        <v>1</v>
      </c>
      <c r="L92">
        <f t="shared" si="12"/>
        <v>1</v>
      </c>
      <c r="M92">
        <f t="shared" si="13"/>
        <v>0</v>
      </c>
    </row>
    <row r="93" spans="1:13" x14ac:dyDescent="0.25">
      <c r="A93" s="135">
        <v>45888</v>
      </c>
      <c r="B93" s="133">
        <f t="shared" si="9"/>
        <v>0</v>
      </c>
      <c r="C93" s="81"/>
      <c r="D93" s="140"/>
      <c r="E93" s="140"/>
      <c r="F93" s="140"/>
      <c r="G93" s="140"/>
      <c r="H93" s="142">
        <f>(B93+'No2'!B93+'No3'!B93)/基本資料!$F$3+H92</f>
        <v>0.46647698870909998</v>
      </c>
      <c r="I93">
        <f t="shared" si="14"/>
        <v>0</v>
      </c>
      <c r="J93">
        <f t="shared" si="10"/>
        <v>1</v>
      </c>
      <c r="K93">
        <f t="shared" si="11"/>
        <v>1</v>
      </c>
      <c r="L93">
        <f t="shared" si="12"/>
        <v>1</v>
      </c>
      <c r="M93">
        <f t="shared" si="13"/>
        <v>0</v>
      </c>
    </row>
    <row r="94" spans="1:13" x14ac:dyDescent="0.25">
      <c r="A94" s="135">
        <v>45889</v>
      </c>
      <c r="B94" s="133">
        <f t="shared" si="9"/>
        <v>0</v>
      </c>
      <c r="C94" s="81"/>
      <c r="D94" s="140"/>
      <c r="E94" s="140"/>
      <c r="F94" s="140"/>
      <c r="G94" s="140"/>
      <c r="H94" s="142">
        <f>(B94+'No2'!B94+'No3'!B94)/基本資料!$F$3+H93</f>
        <v>0.46647698870909998</v>
      </c>
      <c r="I94">
        <f t="shared" si="14"/>
        <v>0</v>
      </c>
      <c r="J94">
        <f t="shared" si="10"/>
        <v>1</v>
      </c>
      <c r="K94">
        <f t="shared" si="11"/>
        <v>1</v>
      </c>
      <c r="L94">
        <f t="shared" si="12"/>
        <v>1</v>
      </c>
      <c r="M94">
        <f t="shared" si="13"/>
        <v>0</v>
      </c>
    </row>
    <row r="95" spans="1:13" x14ac:dyDescent="0.25">
      <c r="A95" s="135">
        <v>45890</v>
      </c>
      <c r="B95" s="133">
        <f t="shared" si="9"/>
        <v>0</v>
      </c>
      <c r="C95" s="81"/>
      <c r="D95" s="140"/>
      <c r="E95" s="140"/>
      <c r="F95" s="140"/>
      <c r="G95" s="140"/>
      <c r="H95" s="142">
        <f>(B95+'No2'!B95+'No3'!B95)/基本資料!$F$3+H94</f>
        <v>0.46647698870909998</v>
      </c>
      <c r="I95">
        <f t="shared" si="14"/>
        <v>0</v>
      </c>
      <c r="J95">
        <f t="shared" si="10"/>
        <v>1</v>
      </c>
      <c r="K95">
        <f t="shared" si="11"/>
        <v>1</v>
      </c>
      <c r="L95">
        <f t="shared" si="12"/>
        <v>1</v>
      </c>
      <c r="M95">
        <f t="shared" si="13"/>
        <v>0</v>
      </c>
    </row>
    <row r="96" spans="1:13" x14ac:dyDescent="0.25">
      <c r="A96" s="135">
        <v>45891</v>
      </c>
      <c r="B96" s="133">
        <f t="shared" si="9"/>
        <v>0</v>
      </c>
      <c r="C96" s="81"/>
      <c r="D96" s="140"/>
      <c r="E96" s="140"/>
      <c r="F96" s="140"/>
      <c r="G96" s="140"/>
      <c r="H96" s="142">
        <f>(B96+'No2'!B96+'No3'!B96)/基本資料!$F$3+H95</f>
        <v>0.46647698870909998</v>
      </c>
      <c r="I96">
        <f t="shared" si="14"/>
        <v>0</v>
      </c>
      <c r="J96">
        <f t="shared" si="10"/>
        <v>1</v>
      </c>
      <c r="K96">
        <f t="shared" si="11"/>
        <v>1</v>
      </c>
      <c r="L96">
        <f t="shared" si="12"/>
        <v>1</v>
      </c>
      <c r="M96">
        <f t="shared" si="13"/>
        <v>0</v>
      </c>
    </row>
    <row r="97" spans="1:13" x14ac:dyDescent="0.25">
      <c r="A97" s="135">
        <v>45892</v>
      </c>
      <c r="B97" s="133">
        <f t="shared" si="9"/>
        <v>0</v>
      </c>
      <c r="C97" s="81"/>
      <c r="D97" s="140"/>
      <c r="E97" s="140"/>
      <c r="F97" s="140"/>
      <c r="G97" s="140"/>
      <c r="H97" s="142">
        <f>(B97+'No2'!B97+'No3'!B97)/基本資料!$F$3+H96</f>
        <v>0.46647698870909998</v>
      </c>
      <c r="I97">
        <f t="shared" si="14"/>
        <v>0</v>
      </c>
      <c r="J97">
        <f t="shared" si="10"/>
        <v>1</v>
      </c>
      <c r="K97">
        <f t="shared" si="11"/>
        <v>1</v>
      </c>
      <c r="L97">
        <f t="shared" si="12"/>
        <v>1</v>
      </c>
      <c r="M97">
        <f t="shared" si="13"/>
        <v>0</v>
      </c>
    </row>
    <row r="98" spans="1:13" x14ac:dyDescent="0.25">
      <c r="A98" s="135">
        <v>45893</v>
      </c>
      <c r="B98" s="133">
        <f t="shared" si="9"/>
        <v>0</v>
      </c>
      <c r="C98" s="81"/>
      <c r="D98" s="140"/>
      <c r="E98" s="140"/>
      <c r="F98" s="140"/>
      <c r="G98" s="140"/>
      <c r="H98" s="142">
        <f>(B98+'No2'!B98+'No3'!B98)/基本資料!$F$3+H97</f>
        <v>0.46647698870909998</v>
      </c>
      <c r="I98">
        <f t="shared" si="14"/>
        <v>0</v>
      </c>
      <c r="J98">
        <f t="shared" si="10"/>
        <v>1</v>
      </c>
      <c r="K98">
        <f t="shared" si="11"/>
        <v>1</v>
      </c>
      <c r="L98">
        <f t="shared" si="12"/>
        <v>1</v>
      </c>
      <c r="M98">
        <f t="shared" si="13"/>
        <v>0</v>
      </c>
    </row>
    <row r="99" spans="1:13" x14ac:dyDescent="0.25">
      <c r="A99" s="135">
        <v>45894</v>
      </c>
      <c r="B99" s="133">
        <f t="shared" si="9"/>
        <v>0</v>
      </c>
      <c r="C99" s="81"/>
      <c r="D99" s="140"/>
      <c r="E99" s="140"/>
      <c r="F99" s="140"/>
      <c r="G99" s="140"/>
      <c r="H99" s="142">
        <f>(B99+'No2'!B99+'No3'!B99)/基本資料!$F$3+H98</f>
        <v>0.46647698870909998</v>
      </c>
      <c r="I99">
        <f t="shared" si="14"/>
        <v>0</v>
      </c>
      <c r="J99">
        <f t="shared" si="10"/>
        <v>1</v>
      </c>
      <c r="K99">
        <f t="shared" si="11"/>
        <v>1</v>
      </c>
      <c r="L99">
        <f t="shared" si="12"/>
        <v>1</v>
      </c>
      <c r="M99">
        <f t="shared" si="13"/>
        <v>0</v>
      </c>
    </row>
    <row r="100" spans="1:13" x14ac:dyDescent="0.25">
      <c r="A100" s="135">
        <v>45895</v>
      </c>
      <c r="B100" s="133">
        <f t="shared" si="9"/>
        <v>0</v>
      </c>
      <c r="C100" s="81"/>
      <c r="D100" s="140"/>
      <c r="E100" s="140"/>
      <c r="F100" s="140"/>
      <c r="G100" s="140"/>
      <c r="H100" s="142">
        <f>(B100+'No2'!B100+'No3'!B100)/基本資料!$F$3+H99</f>
        <v>0.46647698870909998</v>
      </c>
      <c r="I100">
        <f t="shared" si="14"/>
        <v>0</v>
      </c>
      <c r="J100">
        <f t="shared" si="10"/>
        <v>1</v>
      </c>
      <c r="K100">
        <f t="shared" si="11"/>
        <v>1</v>
      </c>
      <c r="L100">
        <f t="shared" si="12"/>
        <v>1</v>
      </c>
      <c r="M100">
        <f t="shared" si="13"/>
        <v>0</v>
      </c>
    </row>
    <row r="101" spans="1:13" x14ac:dyDescent="0.25">
      <c r="A101" s="135">
        <v>45896</v>
      </c>
      <c r="B101" s="133">
        <f t="shared" si="9"/>
        <v>0</v>
      </c>
      <c r="C101" s="81"/>
      <c r="D101" s="140"/>
      <c r="E101" s="140"/>
      <c r="F101" s="140"/>
      <c r="G101" s="140"/>
      <c r="H101" s="142">
        <f>(B101+'No2'!B101+'No3'!B101)/基本資料!$F$3+H100</f>
        <v>0.46647698870909998</v>
      </c>
      <c r="I101">
        <f t="shared" si="14"/>
        <v>0</v>
      </c>
      <c r="J101">
        <f t="shared" si="10"/>
        <v>1</v>
      </c>
      <c r="K101">
        <f t="shared" si="11"/>
        <v>1</v>
      </c>
      <c r="L101">
        <f t="shared" si="12"/>
        <v>1</v>
      </c>
      <c r="M101">
        <f t="shared" si="13"/>
        <v>0</v>
      </c>
    </row>
    <row r="102" spans="1:13" x14ac:dyDescent="0.25">
      <c r="A102" s="135">
        <v>45897</v>
      </c>
      <c r="B102" s="133">
        <f t="shared" si="9"/>
        <v>0</v>
      </c>
      <c r="C102" s="81"/>
      <c r="D102" s="140"/>
      <c r="E102" s="140"/>
      <c r="F102" s="140"/>
      <c r="G102" s="140"/>
      <c r="H102" s="142">
        <f>(B102+'No2'!B102+'No3'!B102)/基本資料!$F$3+H101</f>
        <v>0.46647698870909998</v>
      </c>
      <c r="I102">
        <f t="shared" si="14"/>
        <v>0</v>
      </c>
      <c r="J102">
        <f t="shared" si="10"/>
        <v>1</v>
      </c>
      <c r="K102">
        <f t="shared" si="11"/>
        <v>1</v>
      </c>
      <c r="L102">
        <f t="shared" si="12"/>
        <v>1</v>
      </c>
      <c r="M102">
        <f t="shared" si="13"/>
        <v>0</v>
      </c>
    </row>
    <row r="103" spans="1:13" x14ac:dyDescent="0.25">
      <c r="A103" s="135">
        <v>45898</v>
      </c>
      <c r="B103" s="133">
        <f t="shared" si="9"/>
        <v>0</v>
      </c>
      <c r="C103" s="81"/>
      <c r="D103" s="140"/>
      <c r="E103" s="140"/>
      <c r="F103" s="140"/>
      <c r="G103" s="140"/>
      <c r="H103" s="142">
        <f>(B103+'No2'!B103+'No3'!B103)/基本資料!$F$3+H102</f>
        <v>0.46647698870909998</v>
      </c>
      <c r="I103">
        <f t="shared" si="14"/>
        <v>0</v>
      </c>
      <c r="J103">
        <f t="shared" si="10"/>
        <v>1</v>
      </c>
      <c r="K103">
        <f t="shared" si="11"/>
        <v>1</v>
      </c>
      <c r="L103">
        <f t="shared" si="12"/>
        <v>1</v>
      </c>
      <c r="M103">
        <f t="shared" si="13"/>
        <v>0</v>
      </c>
    </row>
    <row r="104" spans="1:13" x14ac:dyDescent="0.25">
      <c r="A104" s="135">
        <v>45899</v>
      </c>
      <c r="B104" s="133">
        <f t="shared" si="9"/>
        <v>0</v>
      </c>
      <c r="C104" s="81"/>
      <c r="D104" s="140"/>
      <c r="E104" s="140"/>
      <c r="F104" s="140"/>
      <c r="G104" s="140"/>
      <c r="H104" s="142">
        <f>(B104+'No2'!B104+'No3'!B104)/基本資料!$F$3+H103</f>
        <v>0.46647698870909998</v>
      </c>
      <c r="I104">
        <f t="shared" si="14"/>
        <v>0</v>
      </c>
      <c r="J104">
        <f t="shared" si="10"/>
        <v>1</v>
      </c>
      <c r="K104">
        <f t="shared" si="11"/>
        <v>1</v>
      </c>
      <c r="L104">
        <f t="shared" si="12"/>
        <v>1</v>
      </c>
      <c r="M104">
        <f t="shared" si="13"/>
        <v>0</v>
      </c>
    </row>
    <row r="105" spans="1:13" x14ac:dyDescent="0.25">
      <c r="A105" s="135">
        <v>45900</v>
      </c>
      <c r="B105" s="133">
        <f t="shared" si="9"/>
        <v>0</v>
      </c>
      <c r="C105" s="81"/>
      <c r="D105" s="140"/>
      <c r="E105" s="140"/>
      <c r="F105" s="140"/>
      <c r="G105" s="140"/>
      <c r="H105" s="142">
        <f>(B105+'No2'!B105+'No3'!B105)/基本資料!$F$3+H104</f>
        <v>0.46647698870909998</v>
      </c>
      <c r="I105">
        <f t="shared" si="14"/>
        <v>0</v>
      </c>
      <c r="J105">
        <f t="shared" si="10"/>
        <v>1</v>
      </c>
      <c r="K105">
        <f t="shared" si="11"/>
        <v>1</v>
      </c>
      <c r="L105">
        <f t="shared" si="12"/>
        <v>1</v>
      </c>
      <c r="M105">
        <f t="shared" si="13"/>
        <v>0</v>
      </c>
    </row>
    <row r="106" spans="1:13" x14ac:dyDescent="0.25">
      <c r="A106" s="135">
        <v>45901</v>
      </c>
      <c r="B106" s="133">
        <f t="shared" si="9"/>
        <v>0</v>
      </c>
      <c r="C106" s="81"/>
      <c r="D106" s="140"/>
      <c r="E106" s="140"/>
      <c r="F106" s="140"/>
      <c r="G106" s="140"/>
      <c r="H106" s="142">
        <f>(B106+'No2'!B106+'No3'!B106)/基本資料!$F$3+H105</f>
        <v>0.46647698870909998</v>
      </c>
      <c r="I106">
        <f t="shared" si="14"/>
        <v>0</v>
      </c>
      <c r="J106">
        <f t="shared" si="10"/>
        <v>1</v>
      </c>
      <c r="K106">
        <f t="shared" si="11"/>
        <v>1</v>
      </c>
      <c r="L106">
        <f t="shared" si="12"/>
        <v>1</v>
      </c>
      <c r="M106">
        <f t="shared" si="13"/>
        <v>0</v>
      </c>
    </row>
    <row r="107" spans="1:13" x14ac:dyDescent="0.25">
      <c r="A107" s="135">
        <v>45902</v>
      </c>
      <c r="B107" s="133">
        <f t="shared" si="9"/>
        <v>0</v>
      </c>
      <c r="C107" s="81"/>
      <c r="D107" s="140"/>
      <c r="E107" s="140"/>
      <c r="F107" s="140"/>
      <c r="G107" s="140"/>
      <c r="H107" s="142">
        <f>(B107+'No2'!B107+'No3'!B107)/基本資料!$F$3+H106</f>
        <v>0.46647698870909998</v>
      </c>
      <c r="I107">
        <f t="shared" si="14"/>
        <v>0</v>
      </c>
      <c r="J107">
        <f t="shared" si="10"/>
        <v>1</v>
      </c>
      <c r="K107">
        <f t="shared" si="11"/>
        <v>1</v>
      </c>
      <c r="L107">
        <f t="shared" si="12"/>
        <v>1</v>
      </c>
      <c r="M107">
        <f t="shared" si="13"/>
        <v>0</v>
      </c>
    </row>
    <row r="108" spans="1:13" x14ac:dyDescent="0.25">
      <c r="A108" s="135">
        <v>45903</v>
      </c>
      <c r="B108" s="133">
        <f t="shared" si="9"/>
        <v>0</v>
      </c>
      <c r="C108" s="81"/>
      <c r="D108" s="140"/>
      <c r="E108" s="140"/>
      <c r="F108" s="140"/>
      <c r="G108" s="140"/>
      <c r="H108" s="142">
        <f>(B108+'No2'!B108+'No3'!B108)/基本資料!$F$3+H107</f>
        <v>0.46647698870909998</v>
      </c>
      <c r="I108">
        <f t="shared" si="14"/>
        <v>0</v>
      </c>
      <c r="J108">
        <f t="shared" si="10"/>
        <v>1</v>
      </c>
      <c r="K108">
        <f t="shared" si="11"/>
        <v>1</v>
      </c>
      <c r="L108">
        <f t="shared" si="12"/>
        <v>1</v>
      </c>
      <c r="M108">
        <f t="shared" si="13"/>
        <v>0</v>
      </c>
    </row>
    <row r="109" spans="1:13" x14ac:dyDescent="0.25">
      <c r="A109" s="135">
        <v>45904</v>
      </c>
      <c r="B109" s="133">
        <f t="shared" si="9"/>
        <v>0</v>
      </c>
      <c r="C109" s="81"/>
      <c r="D109" s="140"/>
      <c r="E109" s="140"/>
      <c r="F109" s="140"/>
      <c r="G109" s="140"/>
      <c r="H109" s="142">
        <f>(B109+'No2'!B109+'No3'!B109)/基本資料!$F$3+H108</f>
        <v>0.46647698870909998</v>
      </c>
      <c r="I109">
        <f t="shared" si="14"/>
        <v>0</v>
      </c>
      <c r="J109">
        <f t="shared" si="10"/>
        <v>1</v>
      </c>
      <c r="K109">
        <f t="shared" si="11"/>
        <v>1</v>
      </c>
      <c r="L109">
        <f t="shared" si="12"/>
        <v>1</v>
      </c>
      <c r="M109">
        <f t="shared" si="13"/>
        <v>0</v>
      </c>
    </row>
    <row r="110" spans="1:13" x14ac:dyDescent="0.25">
      <c r="A110" s="135">
        <v>45905</v>
      </c>
      <c r="B110" s="133">
        <f t="shared" si="9"/>
        <v>0</v>
      </c>
      <c r="C110" s="81"/>
      <c r="D110" s="140"/>
      <c r="E110" s="140"/>
      <c r="F110" s="140"/>
      <c r="G110" s="140"/>
      <c r="H110" s="142">
        <f>(B110+'No2'!B110+'No3'!B110)/基本資料!$F$3+H109</f>
        <v>0.46647698870909998</v>
      </c>
      <c r="I110">
        <f t="shared" si="14"/>
        <v>0</v>
      </c>
      <c r="J110">
        <f t="shared" si="10"/>
        <v>1</v>
      </c>
      <c r="K110">
        <f t="shared" si="11"/>
        <v>1</v>
      </c>
      <c r="L110">
        <f t="shared" si="12"/>
        <v>1</v>
      </c>
      <c r="M110">
        <f t="shared" si="13"/>
        <v>0</v>
      </c>
    </row>
    <row r="111" spans="1:13" x14ac:dyDescent="0.25">
      <c r="A111" s="135">
        <v>45906</v>
      </c>
      <c r="B111" s="133">
        <f t="shared" si="9"/>
        <v>0</v>
      </c>
      <c r="C111" s="81"/>
      <c r="D111" s="140"/>
      <c r="E111" s="140"/>
      <c r="F111" s="140"/>
      <c r="G111" s="140"/>
      <c r="H111" s="142">
        <f>(B111+'No2'!B111+'No3'!B111)/基本資料!$F$3+H110</f>
        <v>0.46647698870909998</v>
      </c>
      <c r="I111">
        <f t="shared" si="14"/>
        <v>0</v>
      </c>
      <c r="J111">
        <f t="shared" si="10"/>
        <v>1</v>
      </c>
      <c r="K111">
        <f t="shared" si="11"/>
        <v>1</v>
      </c>
      <c r="L111">
        <f t="shared" si="12"/>
        <v>1</v>
      </c>
      <c r="M111">
        <f t="shared" si="13"/>
        <v>0</v>
      </c>
    </row>
    <row r="112" spans="1:13" x14ac:dyDescent="0.25">
      <c r="A112" s="135">
        <v>45907</v>
      </c>
      <c r="B112" s="133">
        <f t="shared" si="9"/>
        <v>0</v>
      </c>
      <c r="C112" s="81"/>
      <c r="D112" s="140"/>
      <c r="E112" s="140"/>
      <c r="F112" s="140"/>
      <c r="G112" s="140"/>
      <c r="H112" s="142">
        <f>(B112+'No2'!B112+'No3'!B112)/基本資料!$F$3+H111</f>
        <v>0.46647698870909998</v>
      </c>
      <c r="I112">
        <f t="shared" si="14"/>
        <v>0</v>
      </c>
      <c r="J112">
        <f t="shared" si="10"/>
        <v>1</v>
      </c>
      <c r="K112">
        <f t="shared" si="11"/>
        <v>1</v>
      </c>
      <c r="L112">
        <f t="shared" si="12"/>
        <v>1</v>
      </c>
      <c r="M112">
        <f t="shared" si="13"/>
        <v>0</v>
      </c>
    </row>
    <row r="113" spans="1:13" x14ac:dyDescent="0.25">
      <c r="A113" s="135">
        <v>45908</v>
      </c>
      <c r="B113" s="133">
        <f t="shared" si="9"/>
        <v>0</v>
      </c>
      <c r="C113" s="81"/>
      <c r="D113" s="140"/>
      <c r="E113" s="140"/>
      <c r="F113" s="140"/>
      <c r="G113" s="140"/>
      <c r="H113" s="142">
        <f>(B113+'No2'!B113+'No3'!B113)/基本資料!$F$3+H112</f>
        <v>0.46647698870909998</v>
      </c>
      <c r="I113">
        <f t="shared" si="14"/>
        <v>0</v>
      </c>
      <c r="J113">
        <f t="shared" si="10"/>
        <v>1</v>
      </c>
      <c r="K113">
        <f t="shared" si="11"/>
        <v>1</v>
      </c>
      <c r="L113">
        <f t="shared" si="12"/>
        <v>1</v>
      </c>
      <c r="M113">
        <f t="shared" si="13"/>
        <v>0</v>
      </c>
    </row>
    <row r="114" spans="1:13" x14ac:dyDescent="0.25">
      <c r="A114" s="135">
        <v>45909</v>
      </c>
      <c r="B114" s="133">
        <f t="shared" si="9"/>
        <v>0</v>
      </c>
      <c r="C114" s="81"/>
      <c r="D114" s="140"/>
      <c r="E114" s="140"/>
      <c r="F114" s="140"/>
      <c r="G114" s="140"/>
      <c r="H114" s="142">
        <f>(B114+'No2'!B114+'No3'!B114)/基本資料!$F$3+H113</f>
        <v>0.46647698870909998</v>
      </c>
      <c r="I114">
        <f t="shared" si="14"/>
        <v>0</v>
      </c>
      <c r="J114">
        <f t="shared" si="10"/>
        <v>1</v>
      </c>
      <c r="K114">
        <f t="shared" si="11"/>
        <v>1</v>
      </c>
      <c r="L114">
        <f t="shared" si="12"/>
        <v>1</v>
      </c>
      <c r="M114">
        <f t="shared" si="13"/>
        <v>0</v>
      </c>
    </row>
    <row r="115" spans="1:13" x14ac:dyDescent="0.25">
      <c r="A115" s="135">
        <v>45910</v>
      </c>
      <c r="B115" s="133">
        <f t="shared" si="9"/>
        <v>0</v>
      </c>
      <c r="C115" s="81"/>
      <c r="D115" s="140"/>
      <c r="E115" s="140"/>
      <c r="F115" s="140"/>
      <c r="G115" s="140"/>
      <c r="H115" s="142">
        <f>(B115+'No2'!B115+'No3'!B115)/基本資料!$F$3+H114</f>
        <v>0.46647698870909998</v>
      </c>
      <c r="I115">
        <f t="shared" si="14"/>
        <v>0</v>
      </c>
      <c r="J115">
        <f t="shared" si="10"/>
        <v>1</v>
      </c>
      <c r="K115">
        <f t="shared" si="11"/>
        <v>1</v>
      </c>
      <c r="L115">
        <f t="shared" si="12"/>
        <v>1</v>
      </c>
      <c r="M115">
        <f t="shared" si="13"/>
        <v>0</v>
      </c>
    </row>
    <row r="116" spans="1:13" x14ac:dyDescent="0.25">
      <c r="A116" s="135">
        <v>45911</v>
      </c>
      <c r="B116" s="133">
        <f t="shared" si="9"/>
        <v>0</v>
      </c>
      <c r="C116" s="81"/>
      <c r="D116" s="140"/>
      <c r="E116" s="140"/>
      <c r="F116" s="140"/>
      <c r="G116" s="140"/>
      <c r="H116" s="142">
        <f>(B116+'No2'!B116+'No3'!B116)/基本資料!$F$3+H115</f>
        <v>0.46647698870909998</v>
      </c>
      <c r="I116">
        <f t="shared" si="14"/>
        <v>0</v>
      </c>
      <c r="J116">
        <f t="shared" si="10"/>
        <v>1</v>
      </c>
      <c r="K116">
        <f t="shared" si="11"/>
        <v>1</v>
      </c>
      <c r="L116">
        <f t="shared" si="12"/>
        <v>1</v>
      </c>
      <c r="M116">
        <f t="shared" si="13"/>
        <v>0</v>
      </c>
    </row>
    <row r="117" spans="1:13" x14ac:dyDescent="0.25">
      <c r="A117" s="135">
        <v>45912</v>
      </c>
      <c r="B117" s="133">
        <f t="shared" si="9"/>
        <v>0</v>
      </c>
      <c r="C117" s="81"/>
      <c r="D117" s="140"/>
      <c r="E117" s="140"/>
      <c r="F117" s="140"/>
      <c r="G117" s="140"/>
      <c r="H117" s="142">
        <f>(B117+'No2'!B117+'No3'!B117)/基本資料!$F$3+H116</f>
        <v>0.46647698870909998</v>
      </c>
      <c r="I117">
        <f t="shared" si="14"/>
        <v>0</v>
      </c>
      <c r="J117">
        <f t="shared" si="10"/>
        <v>1</v>
      </c>
      <c r="K117">
        <f t="shared" si="11"/>
        <v>1</v>
      </c>
      <c r="L117">
        <f t="shared" si="12"/>
        <v>1</v>
      </c>
      <c r="M117">
        <f t="shared" si="13"/>
        <v>0</v>
      </c>
    </row>
    <row r="118" spans="1:13" x14ac:dyDescent="0.25">
      <c r="A118" s="135">
        <v>45913</v>
      </c>
      <c r="B118" s="133">
        <f t="shared" si="9"/>
        <v>0</v>
      </c>
      <c r="C118" s="81"/>
      <c r="D118" s="140"/>
      <c r="E118" s="140"/>
      <c r="F118" s="140"/>
      <c r="G118" s="140"/>
      <c r="H118" s="142">
        <f>(B118+'No2'!B118+'No3'!B118)/基本資料!$F$3+H117</f>
        <v>0.46647698870909998</v>
      </c>
      <c r="I118">
        <f t="shared" si="14"/>
        <v>0</v>
      </c>
      <c r="J118">
        <f t="shared" si="10"/>
        <v>1</v>
      </c>
      <c r="K118">
        <f t="shared" si="11"/>
        <v>1</v>
      </c>
      <c r="L118">
        <f t="shared" si="12"/>
        <v>1</v>
      </c>
      <c r="M118">
        <f t="shared" si="13"/>
        <v>0</v>
      </c>
    </row>
    <row r="119" spans="1:13" x14ac:dyDescent="0.25">
      <c r="A119" s="135">
        <v>45914</v>
      </c>
      <c r="B119" s="133">
        <f t="shared" si="9"/>
        <v>0</v>
      </c>
      <c r="C119" s="81"/>
      <c r="D119" s="140"/>
      <c r="E119" s="140"/>
      <c r="F119" s="140"/>
      <c r="G119" s="140"/>
      <c r="H119" s="142">
        <f>(B119+'No2'!B119+'No3'!B119)/基本資料!$F$3+H118</f>
        <v>0.46647698870909998</v>
      </c>
      <c r="I119">
        <f t="shared" si="14"/>
        <v>0</v>
      </c>
      <c r="J119">
        <f t="shared" si="10"/>
        <v>1</v>
      </c>
      <c r="K119">
        <f t="shared" si="11"/>
        <v>1</v>
      </c>
      <c r="L119">
        <f t="shared" si="12"/>
        <v>1</v>
      </c>
      <c r="M119">
        <f t="shared" si="13"/>
        <v>0</v>
      </c>
    </row>
    <row r="120" spans="1:13" x14ac:dyDescent="0.25">
      <c r="A120" s="135">
        <v>45915</v>
      </c>
      <c r="B120" s="133">
        <f t="shared" si="9"/>
        <v>0</v>
      </c>
      <c r="C120" s="81"/>
      <c r="D120" s="140"/>
      <c r="E120" s="140"/>
      <c r="F120" s="140"/>
      <c r="G120" s="140"/>
      <c r="H120" s="142">
        <f>(B120+'No2'!B120+'No3'!B120)/基本資料!$F$3+H119</f>
        <v>0.46647698870909998</v>
      </c>
      <c r="I120">
        <f t="shared" si="14"/>
        <v>0</v>
      </c>
      <c r="J120">
        <f t="shared" si="10"/>
        <v>1</v>
      </c>
      <c r="K120">
        <f t="shared" si="11"/>
        <v>1</v>
      </c>
      <c r="L120">
        <f t="shared" si="12"/>
        <v>1</v>
      </c>
      <c r="M120">
        <f t="shared" si="13"/>
        <v>0</v>
      </c>
    </row>
    <row r="121" spans="1:13" x14ac:dyDescent="0.25">
      <c r="A121" s="135">
        <v>45916</v>
      </c>
      <c r="B121" s="133">
        <f t="shared" si="9"/>
        <v>0</v>
      </c>
      <c r="C121" s="81"/>
      <c r="D121" s="140"/>
      <c r="E121" s="140"/>
      <c r="F121" s="140"/>
      <c r="G121" s="140"/>
      <c r="H121" s="142">
        <f>(B121+'No2'!B121+'No3'!B121)/基本資料!$F$3+H120</f>
        <v>0.46647698870909998</v>
      </c>
      <c r="I121">
        <f t="shared" si="14"/>
        <v>0</v>
      </c>
      <c r="J121">
        <f t="shared" si="10"/>
        <v>1</v>
      </c>
      <c r="K121">
        <f t="shared" si="11"/>
        <v>1</v>
      </c>
      <c r="L121">
        <f t="shared" si="12"/>
        <v>1</v>
      </c>
      <c r="M121">
        <f t="shared" si="13"/>
        <v>0</v>
      </c>
    </row>
    <row r="122" spans="1:13" x14ac:dyDescent="0.25">
      <c r="A122" s="135">
        <v>45917</v>
      </c>
      <c r="B122" s="133">
        <f t="shared" si="9"/>
        <v>0</v>
      </c>
      <c r="C122" s="81"/>
      <c r="D122" s="140"/>
      <c r="E122" s="140"/>
      <c r="F122" s="140"/>
      <c r="G122" s="140"/>
      <c r="H122" s="142">
        <f>(B122+'No2'!B122+'No3'!B122)/基本資料!$F$3+H121</f>
        <v>0.46647698870909998</v>
      </c>
      <c r="I122">
        <f t="shared" si="14"/>
        <v>0</v>
      </c>
      <c r="J122">
        <f t="shared" si="10"/>
        <v>1</v>
      </c>
      <c r="K122">
        <f t="shared" si="11"/>
        <v>1</v>
      </c>
      <c r="L122">
        <f t="shared" si="12"/>
        <v>1</v>
      </c>
      <c r="M122">
        <f t="shared" si="13"/>
        <v>0</v>
      </c>
    </row>
    <row r="123" spans="1:13" x14ac:dyDescent="0.25">
      <c r="A123" s="135">
        <v>45918</v>
      </c>
      <c r="B123" s="133">
        <f t="shared" si="9"/>
        <v>0</v>
      </c>
      <c r="C123" s="81"/>
      <c r="D123" s="140"/>
      <c r="E123" s="140"/>
      <c r="F123" s="140"/>
      <c r="G123" s="140"/>
      <c r="H123" s="142">
        <f>(B123+'No2'!B123+'No3'!B123)/基本資料!$F$3+H122</f>
        <v>0.46647698870909998</v>
      </c>
      <c r="I123">
        <f t="shared" si="14"/>
        <v>0</v>
      </c>
      <c r="J123">
        <f t="shared" si="10"/>
        <v>1</v>
      </c>
      <c r="K123">
        <f t="shared" si="11"/>
        <v>1</v>
      </c>
      <c r="L123">
        <f t="shared" si="12"/>
        <v>1</v>
      </c>
      <c r="M123">
        <f t="shared" si="13"/>
        <v>0</v>
      </c>
    </row>
    <row r="124" spans="1:13" x14ac:dyDescent="0.25">
      <c r="A124" s="135">
        <v>45919</v>
      </c>
      <c r="B124" s="133">
        <f t="shared" si="9"/>
        <v>0</v>
      </c>
      <c r="C124" s="81"/>
      <c r="D124" s="140"/>
      <c r="E124" s="140"/>
      <c r="F124" s="140"/>
      <c r="G124" s="140"/>
      <c r="H124" s="142">
        <f>(B124+'No2'!B124+'No3'!B124)/基本資料!$F$3+H123</f>
        <v>0.46647698870909998</v>
      </c>
      <c r="I124">
        <f t="shared" si="14"/>
        <v>0</v>
      </c>
      <c r="J124">
        <f t="shared" si="10"/>
        <v>1</v>
      </c>
      <c r="K124">
        <f t="shared" si="11"/>
        <v>1</v>
      </c>
      <c r="L124">
        <f t="shared" si="12"/>
        <v>1</v>
      </c>
      <c r="M124">
        <f t="shared" si="13"/>
        <v>0</v>
      </c>
    </row>
    <row r="125" spans="1:13" x14ac:dyDescent="0.25">
      <c r="A125" s="135">
        <v>45920</v>
      </c>
      <c r="B125" s="133">
        <f t="shared" si="9"/>
        <v>0</v>
      </c>
      <c r="C125" s="81"/>
      <c r="D125" s="140"/>
      <c r="E125" s="140"/>
      <c r="F125" s="140"/>
      <c r="G125" s="140"/>
      <c r="H125" s="142">
        <f>(B125+'No2'!B125+'No3'!B125)/基本資料!$F$3+H124</f>
        <v>0.46647698870909998</v>
      </c>
      <c r="I125">
        <f t="shared" si="14"/>
        <v>0</v>
      </c>
      <c r="J125">
        <f t="shared" si="10"/>
        <v>1</v>
      </c>
      <c r="K125">
        <f t="shared" si="11"/>
        <v>1</v>
      </c>
      <c r="L125">
        <f t="shared" si="12"/>
        <v>1</v>
      </c>
      <c r="M125">
        <f t="shared" si="13"/>
        <v>0</v>
      </c>
    </row>
    <row r="126" spans="1:13" x14ac:dyDescent="0.25">
      <c r="A126" s="135">
        <v>45921</v>
      </c>
      <c r="B126" s="133">
        <f t="shared" si="9"/>
        <v>0</v>
      </c>
      <c r="C126" s="81"/>
      <c r="D126" s="140"/>
      <c r="E126" s="140"/>
      <c r="F126" s="140"/>
      <c r="G126" s="140"/>
      <c r="H126" s="142">
        <f>(B126+'No2'!B126+'No3'!B126)/基本資料!$F$3+H125</f>
        <v>0.46647698870909998</v>
      </c>
      <c r="I126">
        <f t="shared" si="14"/>
        <v>0</v>
      </c>
      <c r="J126">
        <f t="shared" si="10"/>
        <v>1</v>
      </c>
      <c r="K126">
        <f t="shared" si="11"/>
        <v>1</v>
      </c>
      <c r="L126">
        <f t="shared" si="12"/>
        <v>1</v>
      </c>
      <c r="M126">
        <f t="shared" si="13"/>
        <v>0</v>
      </c>
    </row>
    <row r="127" spans="1:13" x14ac:dyDescent="0.25">
      <c r="A127" s="135">
        <v>45922</v>
      </c>
      <c r="B127" s="133">
        <f t="shared" si="9"/>
        <v>0</v>
      </c>
      <c r="C127" s="81"/>
      <c r="D127" s="140"/>
      <c r="E127" s="140"/>
      <c r="F127" s="140"/>
      <c r="G127" s="140"/>
      <c r="H127" s="142">
        <f>(B127+'No2'!B127+'No3'!B127)/基本資料!$F$3+H126</f>
        <v>0.46647698870909998</v>
      </c>
      <c r="I127">
        <f t="shared" si="14"/>
        <v>0</v>
      </c>
      <c r="J127">
        <f t="shared" si="10"/>
        <v>1</v>
      </c>
      <c r="K127">
        <f t="shared" si="11"/>
        <v>1</v>
      </c>
      <c r="L127">
        <f t="shared" si="12"/>
        <v>1</v>
      </c>
      <c r="M127">
        <f t="shared" si="13"/>
        <v>0</v>
      </c>
    </row>
  </sheetData>
  <mergeCells count="1">
    <mergeCell ref="H2:H7"/>
  </mergeCells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11"/>
  </sheetPr>
  <dimension ref="A1:AA127"/>
  <sheetViews>
    <sheetView workbookViewId="0">
      <pane xSplit="2" ySplit="7" topLeftCell="J29" activePane="bottomRight" state="frozen"/>
      <selection pane="topRight" activeCell="C1" sqref="C1"/>
      <selection pane="bottomLeft" activeCell="A7" sqref="A7"/>
      <selection pane="bottomRight" activeCell="A43" sqref="A43:XFD43"/>
    </sheetView>
  </sheetViews>
  <sheetFormatPr defaultRowHeight="16.5" x14ac:dyDescent="0.25"/>
  <cols>
    <col min="1" max="1" width="19.75" customWidth="1"/>
    <col min="3" max="4" width="12.75" customWidth="1"/>
    <col min="5" max="5" width="30.75" customWidth="1"/>
    <col min="6" max="6" width="16.75" customWidth="1"/>
    <col min="7" max="7" width="8.75" customWidth="1"/>
    <col min="8" max="9" width="10.75" customWidth="1"/>
    <col min="10" max="11" width="8.75" customWidth="1"/>
    <col min="12" max="13" width="12.75" customWidth="1"/>
    <col min="14" max="14" width="30.75" customWidth="1"/>
    <col min="15" max="15" width="16.75" customWidth="1"/>
    <col min="16" max="16" width="8.75" customWidth="1"/>
    <col min="17" max="18" width="10.75" customWidth="1"/>
    <col min="19" max="27" width="8.75" customWidth="1"/>
  </cols>
  <sheetData>
    <row r="1" spans="1:27" x14ac:dyDescent="0.25">
      <c r="B1" s="175" t="s">
        <v>371</v>
      </c>
      <c r="C1" s="175">
        <v>1</v>
      </c>
      <c r="D1" s="175">
        <v>2</v>
      </c>
      <c r="E1" s="175">
        <v>3</v>
      </c>
      <c r="F1" s="175">
        <v>4</v>
      </c>
      <c r="G1" s="175">
        <v>5</v>
      </c>
      <c r="H1" s="175">
        <v>6</v>
      </c>
      <c r="I1" s="175">
        <v>7</v>
      </c>
      <c r="J1" s="175">
        <v>8</v>
      </c>
      <c r="L1" s="116">
        <v>1</v>
      </c>
      <c r="M1" s="116">
        <v>2</v>
      </c>
      <c r="N1" s="116">
        <v>3</v>
      </c>
      <c r="O1" s="116">
        <v>4</v>
      </c>
      <c r="P1" s="116">
        <v>5</v>
      </c>
      <c r="Q1" s="116">
        <v>6</v>
      </c>
      <c r="R1" s="116">
        <v>7</v>
      </c>
      <c r="S1" s="116">
        <v>8</v>
      </c>
    </row>
    <row r="2" spans="1:27" ht="82.5" x14ac:dyDescent="0.25">
      <c r="A2" s="132"/>
      <c r="B2" s="132" t="s">
        <v>321</v>
      </c>
      <c r="C2" s="136" t="s">
        <v>485</v>
      </c>
      <c r="D2" s="136" t="s">
        <v>486</v>
      </c>
      <c r="E2" s="136" t="s">
        <v>436</v>
      </c>
      <c r="F2" s="136" t="s">
        <v>487</v>
      </c>
      <c r="G2" s="136" t="s">
        <v>484</v>
      </c>
      <c r="H2" s="136" t="s">
        <v>439</v>
      </c>
      <c r="I2" s="136" t="s">
        <v>440</v>
      </c>
      <c r="J2" s="136" t="s">
        <v>483</v>
      </c>
      <c r="K2" s="286" t="s">
        <v>327</v>
      </c>
      <c r="L2" s="136" t="s">
        <v>434</v>
      </c>
      <c r="M2" s="136" t="s">
        <v>435</v>
      </c>
      <c r="N2" s="136" t="s">
        <v>436</v>
      </c>
      <c r="O2" s="136" t="s">
        <v>437</v>
      </c>
      <c r="P2" s="136" t="s">
        <v>438</v>
      </c>
      <c r="Q2" s="136" t="s">
        <v>439</v>
      </c>
      <c r="R2" s="136" t="s">
        <v>440</v>
      </c>
      <c r="S2" s="136" t="s">
        <v>441</v>
      </c>
      <c r="T2" s="80"/>
      <c r="U2" s="80"/>
      <c r="V2" s="80"/>
      <c r="W2" s="80"/>
      <c r="X2" s="80"/>
      <c r="Y2" s="80"/>
      <c r="Z2" s="80"/>
      <c r="AA2" s="80"/>
    </row>
    <row r="3" spans="1:27" x14ac:dyDescent="0.25">
      <c r="A3" s="132"/>
      <c r="B3" s="132" t="s">
        <v>322</v>
      </c>
      <c r="C3" s="137">
        <v>114000</v>
      </c>
      <c r="D3" s="137">
        <v>90000</v>
      </c>
      <c r="E3" s="137">
        <v>1057500</v>
      </c>
      <c r="F3" s="137">
        <v>900000</v>
      </c>
      <c r="G3" s="137">
        <v>180000</v>
      </c>
      <c r="H3" s="137">
        <v>25000</v>
      </c>
      <c r="I3" s="137">
        <v>1100</v>
      </c>
      <c r="J3" s="137">
        <v>327000</v>
      </c>
      <c r="K3" s="287"/>
      <c r="L3" s="137">
        <v>114000</v>
      </c>
      <c r="M3" s="137">
        <v>90000</v>
      </c>
      <c r="N3" s="137">
        <v>1057500</v>
      </c>
      <c r="O3" s="137">
        <v>900000</v>
      </c>
      <c r="P3" s="137">
        <v>180000</v>
      </c>
      <c r="Q3" s="137">
        <v>25000</v>
      </c>
      <c r="R3" s="137">
        <v>1100</v>
      </c>
      <c r="S3" s="137">
        <v>327000</v>
      </c>
      <c r="T3" s="116"/>
      <c r="U3" s="116"/>
      <c r="V3" s="116"/>
      <c r="W3" s="116"/>
      <c r="X3" s="116"/>
      <c r="Y3" s="116"/>
      <c r="Z3" s="116"/>
      <c r="AA3" s="116"/>
    </row>
    <row r="4" spans="1:27" x14ac:dyDescent="0.25">
      <c r="A4" s="132"/>
      <c r="B4" s="132" t="s">
        <v>323</v>
      </c>
      <c r="C4" s="137">
        <v>1</v>
      </c>
      <c r="D4" s="137">
        <v>1</v>
      </c>
      <c r="E4" s="137">
        <v>1</v>
      </c>
      <c r="F4" s="137">
        <v>1</v>
      </c>
      <c r="G4" s="137">
        <v>1</v>
      </c>
      <c r="H4" s="137">
        <v>2</v>
      </c>
      <c r="I4" s="137">
        <v>547</v>
      </c>
      <c r="J4" s="137">
        <v>1</v>
      </c>
      <c r="K4" s="287"/>
      <c r="L4" s="137">
        <v>1</v>
      </c>
      <c r="M4" s="137">
        <v>1</v>
      </c>
      <c r="N4" s="137">
        <v>1</v>
      </c>
      <c r="O4" s="137">
        <v>1</v>
      </c>
      <c r="P4" s="137">
        <v>1</v>
      </c>
      <c r="Q4" s="137">
        <v>2</v>
      </c>
      <c r="R4" s="137">
        <v>547</v>
      </c>
      <c r="S4" s="137">
        <v>1</v>
      </c>
      <c r="T4" s="116"/>
      <c r="U4" s="116"/>
      <c r="V4" s="116"/>
      <c r="W4" s="116"/>
      <c r="X4" s="116"/>
      <c r="Y4" s="116"/>
      <c r="Z4" s="116"/>
      <c r="AA4" s="116"/>
    </row>
    <row r="5" spans="1:27" x14ac:dyDescent="0.25">
      <c r="A5" s="133"/>
      <c r="B5" s="133" t="s">
        <v>324</v>
      </c>
      <c r="C5" s="138">
        <f>SUM(C8:C127)</f>
        <v>1</v>
      </c>
      <c r="D5" s="138">
        <f t="shared" ref="D5:J5" si="0">SUM(D8:D127)</f>
        <v>1</v>
      </c>
      <c r="E5" s="138">
        <f t="shared" si="0"/>
        <v>0.7</v>
      </c>
      <c r="F5" s="138">
        <f t="shared" si="0"/>
        <v>0.7</v>
      </c>
      <c r="G5" s="138">
        <f t="shared" si="0"/>
        <v>0.4</v>
      </c>
      <c r="H5" s="138">
        <f t="shared" si="0"/>
        <v>0</v>
      </c>
      <c r="I5" s="138">
        <f t="shared" si="0"/>
        <v>0</v>
      </c>
      <c r="J5" s="138">
        <f t="shared" si="0"/>
        <v>1</v>
      </c>
      <c r="K5" s="287"/>
      <c r="L5" s="138">
        <f>C5</f>
        <v>1</v>
      </c>
      <c r="M5" s="138">
        <f t="shared" ref="M5:S5" si="1">D5</f>
        <v>1</v>
      </c>
      <c r="N5" s="138">
        <f t="shared" si="1"/>
        <v>0.7</v>
      </c>
      <c r="O5" s="138">
        <f t="shared" si="1"/>
        <v>0.7</v>
      </c>
      <c r="P5" s="138">
        <f t="shared" si="1"/>
        <v>0.4</v>
      </c>
      <c r="Q5" s="138">
        <f t="shared" si="1"/>
        <v>0</v>
      </c>
      <c r="R5" s="138">
        <f t="shared" si="1"/>
        <v>0</v>
      </c>
      <c r="S5" s="138">
        <f t="shared" si="1"/>
        <v>1</v>
      </c>
      <c r="T5" s="116"/>
      <c r="U5" s="116"/>
      <c r="V5" s="116"/>
      <c r="W5" s="116"/>
      <c r="X5" s="116"/>
      <c r="Y5" s="116"/>
      <c r="Z5" s="116"/>
      <c r="AA5" s="116"/>
    </row>
    <row r="6" spans="1:27" x14ac:dyDescent="0.25">
      <c r="A6" s="79" t="s">
        <v>468</v>
      </c>
      <c r="C6" s="116"/>
      <c r="D6" s="116"/>
      <c r="E6" s="116"/>
      <c r="F6" s="116"/>
      <c r="G6" s="116"/>
      <c r="H6" s="116"/>
      <c r="I6" s="116"/>
      <c r="J6" s="116"/>
      <c r="K6" s="287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  <c r="X6" s="116"/>
      <c r="Y6" s="116"/>
      <c r="Z6" s="116"/>
      <c r="AA6" s="116"/>
    </row>
    <row r="7" spans="1:27" x14ac:dyDescent="0.25">
      <c r="A7" s="134" t="s">
        <v>325</v>
      </c>
      <c r="B7" s="134" t="s">
        <v>326</v>
      </c>
      <c r="C7" s="139" t="s">
        <v>66</v>
      </c>
      <c r="D7" s="139" t="s">
        <v>66</v>
      </c>
      <c r="E7" s="139" t="s">
        <v>66</v>
      </c>
      <c r="F7" s="139" t="s">
        <v>66</v>
      </c>
      <c r="G7" s="139" t="s">
        <v>66</v>
      </c>
      <c r="H7" s="139" t="s">
        <v>93</v>
      </c>
      <c r="I7" s="139" t="s">
        <v>179</v>
      </c>
      <c r="J7" s="139" t="s">
        <v>66</v>
      </c>
      <c r="K7" s="288"/>
      <c r="L7" s="139" t="s">
        <v>66</v>
      </c>
      <c r="M7" s="139" t="s">
        <v>66</v>
      </c>
      <c r="N7" s="139" t="s">
        <v>66</v>
      </c>
      <c r="O7" s="139" t="s">
        <v>66</v>
      </c>
      <c r="P7" s="139" t="s">
        <v>66</v>
      </c>
      <c r="Q7" s="139" t="s">
        <v>93</v>
      </c>
      <c r="R7" s="139" t="s">
        <v>179</v>
      </c>
      <c r="S7" s="139" t="s">
        <v>66</v>
      </c>
      <c r="T7" s="116"/>
      <c r="U7" s="116"/>
      <c r="V7" s="116"/>
      <c r="W7" s="116"/>
      <c r="X7" s="116"/>
      <c r="Y7" s="116"/>
      <c r="Z7" s="116"/>
      <c r="AA7" s="116"/>
    </row>
    <row r="8" spans="1:27" x14ac:dyDescent="0.25">
      <c r="A8" s="135">
        <v>45803</v>
      </c>
      <c r="B8" s="133">
        <f>SUMPRODUCT($C$3:$J$3,C8:J8)</f>
        <v>0</v>
      </c>
      <c r="C8" s="140"/>
      <c r="D8" s="140"/>
      <c r="E8" s="140"/>
      <c r="F8" s="140"/>
      <c r="G8" s="140"/>
      <c r="H8" s="140"/>
      <c r="I8" s="140"/>
      <c r="J8" s="140"/>
      <c r="K8" s="141">
        <f>B8</f>
        <v>0</v>
      </c>
      <c r="L8">
        <f>C8</f>
        <v>0</v>
      </c>
      <c r="M8">
        <f t="shared" ref="M8:S8" si="2">D8</f>
        <v>0</v>
      </c>
      <c r="N8">
        <f t="shared" si="2"/>
        <v>0</v>
      </c>
      <c r="O8">
        <f t="shared" si="2"/>
        <v>0</v>
      </c>
      <c r="P8">
        <f t="shared" si="2"/>
        <v>0</v>
      </c>
      <c r="Q8">
        <f t="shared" si="2"/>
        <v>0</v>
      </c>
      <c r="R8">
        <f t="shared" si="2"/>
        <v>0</v>
      </c>
      <c r="S8">
        <f t="shared" si="2"/>
        <v>0</v>
      </c>
    </row>
    <row r="9" spans="1:27" x14ac:dyDescent="0.25">
      <c r="A9" s="135">
        <v>45804</v>
      </c>
      <c r="B9" s="133">
        <f t="shared" ref="B9:B72" si="3">SUMPRODUCT($C$3:$J$3,C9:J9)</f>
        <v>61200</v>
      </c>
      <c r="C9" s="140">
        <v>0.3</v>
      </c>
      <c r="D9" s="140">
        <v>0.3</v>
      </c>
      <c r="E9" s="140"/>
      <c r="F9" s="140"/>
      <c r="G9" s="140"/>
      <c r="H9" s="140"/>
      <c r="I9" s="140"/>
      <c r="J9" s="140"/>
      <c r="K9" s="141">
        <f>B9+K8</f>
        <v>61200</v>
      </c>
      <c r="L9">
        <f>C9+L8</f>
        <v>0.3</v>
      </c>
      <c r="M9">
        <f t="shared" ref="M9:M72" si="4">D9+M8</f>
        <v>0.3</v>
      </c>
      <c r="N9">
        <f t="shared" ref="N9:N72" si="5">E9+N8</f>
        <v>0</v>
      </c>
      <c r="O9">
        <f>F9+O8</f>
        <v>0</v>
      </c>
      <c r="P9">
        <f t="shared" ref="P9:P72" si="6">G9+P8</f>
        <v>0</v>
      </c>
      <c r="Q9">
        <f t="shared" ref="Q9:Q72" si="7">H9+Q8</f>
        <v>0</v>
      </c>
      <c r="R9">
        <f t="shared" ref="R9:R72" si="8">I9+R8</f>
        <v>0</v>
      </c>
      <c r="S9">
        <f t="shared" ref="S9:S72" si="9">J9+S8</f>
        <v>0</v>
      </c>
    </row>
    <row r="10" spans="1:27" x14ac:dyDescent="0.25">
      <c r="A10" s="135">
        <v>45805</v>
      </c>
      <c r="B10" s="133">
        <f t="shared" si="3"/>
        <v>61200</v>
      </c>
      <c r="C10" s="140">
        <v>0.3</v>
      </c>
      <c r="D10" s="140">
        <v>0.3</v>
      </c>
      <c r="E10" s="140"/>
      <c r="F10" s="140"/>
      <c r="G10" s="140"/>
      <c r="H10" s="140"/>
      <c r="I10" s="140"/>
      <c r="J10" s="140"/>
      <c r="K10" s="141">
        <f t="shared" ref="K10:K73" si="10">B10+K9</f>
        <v>122400</v>
      </c>
      <c r="L10">
        <f t="shared" ref="L10:L43" si="11">C10+L9</f>
        <v>0.6</v>
      </c>
      <c r="M10">
        <f t="shared" si="4"/>
        <v>0.6</v>
      </c>
      <c r="N10">
        <f t="shared" si="5"/>
        <v>0</v>
      </c>
      <c r="O10">
        <f t="shared" ref="O10:O73" si="12">F10+O9</f>
        <v>0</v>
      </c>
      <c r="P10">
        <f t="shared" si="6"/>
        <v>0</v>
      </c>
      <c r="Q10">
        <f t="shared" si="7"/>
        <v>0</v>
      </c>
      <c r="R10">
        <f t="shared" si="8"/>
        <v>0</v>
      </c>
      <c r="S10">
        <f t="shared" si="9"/>
        <v>0</v>
      </c>
    </row>
    <row r="11" spans="1:27" x14ac:dyDescent="0.25">
      <c r="A11" s="135">
        <v>45806</v>
      </c>
      <c r="B11" s="133">
        <f t="shared" si="3"/>
        <v>0</v>
      </c>
      <c r="C11" s="140"/>
      <c r="D11" s="140"/>
      <c r="E11" s="140"/>
      <c r="F11" s="140"/>
      <c r="G11" s="140"/>
      <c r="H11" s="140"/>
      <c r="I11" s="140"/>
      <c r="J11" s="140"/>
      <c r="K11" s="141">
        <f t="shared" si="10"/>
        <v>122400</v>
      </c>
      <c r="L11">
        <f t="shared" si="11"/>
        <v>0.6</v>
      </c>
      <c r="M11">
        <f t="shared" si="4"/>
        <v>0.6</v>
      </c>
      <c r="N11">
        <f t="shared" si="5"/>
        <v>0</v>
      </c>
      <c r="O11">
        <f t="shared" si="12"/>
        <v>0</v>
      </c>
      <c r="P11">
        <f t="shared" si="6"/>
        <v>0</v>
      </c>
      <c r="Q11">
        <f t="shared" si="7"/>
        <v>0</v>
      </c>
      <c r="R11">
        <f t="shared" si="8"/>
        <v>0</v>
      </c>
      <c r="S11">
        <f t="shared" si="9"/>
        <v>0</v>
      </c>
    </row>
    <row r="12" spans="1:27" x14ac:dyDescent="0.25">
      <c r="A12" s="135">
        <v>45807</v>
      </c>
      <c r="B12" s="133">
        <f t="shared" si="3"/>
        <v>0</v>
      </c>
      <c r="C12" s="140"/>
      <c r="D12" s="140"/>
      <c r="E12" s="140"/>
      <c r="F12" s="140"/>
      <c r="G12" s="140"/>
      <c r="H12" s="140"/>
      <c r="I12" s="140"/>
      <c r="J12" s="140"/>
      <c r="K12" s="141">
        <f t="shared" si="10"/>
        <v>122400</v>
      </c>
      <c r="L12">
        <f t="shared" si="11"/>
        <v>0.6</v>
      </c>
      <c r="M12">
        <f t="shared" si="4"/>
        <v>0.6</v>
      </c>
      <c r="N12">
        <f t="shared" si="5"/>
        <v>0</v>
      </c>
      <c r="O12">
        <f t="shared" si="12"/>
        <v>0</v>
      </c>
      <c r="P12">
        <f t="shared" si="6"/>
        <v>0</v>
      </c>
      <c r="Q12">
        <f t="shared" si="7"/>
        <v>0</v>
      </c>
      <c r="R12">
        <f t="shared" si="8"/>
        <v>0</v>
      </c>
      <c r="S12">
        <f t="shared" si="9"/>
        <v>0</v>
      </c>
    </row>
    <row r="13" spans="1:27" x14ac:dyDescent="0.25">
      <c r="A13" s="135">
        <v>45808</v>
      </c>
      <c r="B13" s="133">
        <f t="shared" si="3"/>
        <v>0</v>
      </c>
      <c r="C13" s="140"/>
      <c r="D13" s="140"/>
      <c r="E13" s="140"/>
      <c r="F13" s="140"/>
      <c r="G13" s="140"/>
      <c r="H13" s="140"/>
      <c r="I13" s="140"/>
      <c r="J13" s="140"/>
      <c r="K13" s="141">
        <f t="shared" si="10"/>
        <v>122400</v>
      </c>
      <c r="L13">
        <f t="shared" si="11"/>
        <v>0.6</v>
      </c>
      <c r="M13">
        <f t="shared" si="4"/>
        <v>0.6</v>
      </c>
      <c r="N13">
        <f t="shared" si="5"/>
        <v>0</v>
      </c>
      <c r="O13">
        <f t="shared" si="12"/>
        <v>0</v>
      </c>
      <c r="P13">
        <f t="shared" si="6"/>
        <v>0</v>
      </c>
      <c r="Q13">
        <f t="shared" si="7"/>
        <v>0</v>
      </c>
      <c r="R13">
        <f t="shared" si="8"/>
        <v>0</v>
      </c>
      <c r="S13">
        <f t="shared" si="9"/>
        <v>0</v>
      </c>
    </row>
    <row r="14" spans="1:27" x14ac:dyDescent="0.25">
      <c r="A14" s="135">
        <v>45809</v>
      </c>
      <c r="B14" s="133">
        <f t="shared" si="3"/>
        <v>0</v>
      </c>
      <c r="C14" s="140"/>
      <c r="D14" s="140"/>
      <c r="E14" s="140"/>
      <c r="F14" s="140"/>
      <c r="G14" s="140"/>
      <c r="H14" s="140"/>
      <c r="I14" s="140"/>
      <c r="J14" s="140"/>
      <c r="K14" s="141">
        <f t="shared" si="10"/>
        <v>122400</v>
      </c>
      <c r="L14">
        <f t="shared" si="11"/>
        <v>0.6</v>
      </c>
      <c r="M14">
        <f t="shared" si="4"/>
        <v>0.6</v>
      </c>
      <c r="N14">
        <f t="shared" si="5"/>
        <v>0</v>
      </c>
      <c r="O14">
        <f t="shared" si="12"/>
        <v>0</v>
      </c>
      <c r="P14">
        <f t="shared" si="6"/>
        <v>0</v>
      </c>
      <c r="Q14">
        <f t="shared" si="7"/>
        <v>0</v>
      </c>
      <c r="R14">
        <f t="shared" si="8"/>
        <v>0</v>
      </c>
      <c r="S14">
        <f t="shared" si="9"/>
        <v>0</v>
      </c>
    </row>
    <row r="15" spans="1:27" x14ac:dyDescent="0.25">
      <c r="A15" s="135">
        <v>45810</v>
      </c>
      <c r="B15" s="133">
        <f t="shared" si="3"/>
        <v>0</v>
      </c>
      <c r="C15" s="140"/>
      <c r="D15" s="140"/>
      <c r="E15" s="140"/>
      <c r="F15" s="140"/>
      <c r="G15" s="140"/>
      <c r="H15" s="140"/>
      <c r="I15" s="140"/>
      <c r="J15" s="140"/>
      <c r="K15" s="141">
        <f t="shared" si="10"/>
        <v>122400</v>
      </c>
      <c r="L15">
        <f t="shared" si="11"/>
        <v>0.6</v>
      </c>
      <c r="M15">
        <f t="shared" si="4"/>
        <v>0.6</v>
      </c>
      <c r="N15">
        <f t="shared" si="5"/>
        <v>0</v>
      </c>
      <c r="O15">
        <f t="shared" si="12"/>
        <v>0</v>
      </c>
      <c r="P15">
        <f t="shared" si="6"/>
        <v>0</v>
      </c>
      <c r="Q15">
        <f t="shared" si="7"/>
        <v>0</v>
      </c>
      <c r="R15">
        <f t="shared" si="8"/>
        <v>0</v>
      </c>
      <c r="S15">
        <f t="shared" si="9"/>
        <v>0</v>
      </c>
    </row>
    <row r="16" spans="1:27" x14ac:dyDescent="0.25">
      <c r="A16" s="135">
        <v>45811</v>
      </c>
      <c r="B16" s="133">
        <f t="shared" si="3"/>
        <v>0</v>
      </c>
      <c r="C16" s="140"/>
      <c r="D16" s="140"/>
      <c r="E16" s="140"/>
      <c r="F16" s="140"/>
      <c r="G16" s="140"/>
      <c r="H16" s="140"/>
      <c r="I16" s="140"/>
      <c r="J16" s="140"/>
      <c r="K16" s="141">
        <f t="shared" si="10"/>
        <v>122400</v>
      </c>
      <c r="L16">
        <f t="shared" si="11"/>
        <v>0.6</v>
      </c>
      <c r="M16">
        <f t="shared" si="4"/>
        <v>0.6</v>
      </c>
      <c r="N16">
        <f t="shared" si="5"/>
        <v>0</v>
      </c>
      <c r="O16">
        <f t="shared" si="12"/>
        <v>0</v>
      </c>
      <c r="P16">
        <f t="shared" si="6"/>
        <v>0</v>
      </c>
      <c r="Q16">
        <f t="shared" si="7"/>
        <v>0</v>
      </c>
      <c r="R16">
        <f t="shared" si="8"/>
        <v>0</v>
      </c>
      <c r="S16">
        <f t="shared" si="9"/>
        <v>0</v>
      </c>
    </row>
    <row r="17" spans="1:19" x14ac:dyDescent="0.25">
      <c r="A17" s="135">
        <v>45812</v>
      </c>
      <c r="B17" s="133">
        <f t="shared" si="3"/>
        <v>98100</v>
      </c>
      <c r="C17" s="140"/>
      <c r="D17" s="140"/>
      <c r="E17" s="140"/>
      <c r="F17" s="140"/>
      <c r="G17" s="140"/>
      <c r="H17" s="140"/>
      <c r="I17" s="140"/>
      <c r="J17" s="140">
        <v>0.3</v>
      </c>
      <c r="K17" s="141">
        <f t="shared" si="10"/>
        <v>220500</v>
      </c>
      <c r="L17">
        <f t="shared" si="11"/>
        <v>0.6</v>
      </c>
      <c r="M17">
        <f t="shared" si="4"/>
        <v>0.6</v>
      </c>
      <c r="N17">
        <f t="shared" si="5"/>
        <v>0</v>
      </c>
      <c r="O17">
        <f t="shared" si="12"/>
        <v>0</v>
      </c>
      <c r="P17">
        <f t="shared" si="6"/>
        <v>0</v>
      </c>
      <c r="Q17">
        <f t="shared" si="7"/>
        <v>0</v>
      </c>
      <c r="R17">
        <f t="shared" si="8"/>
        <v>0</v>
      </c>
      <c r="S17">
        <f t="shared" si="9"/>
        <v>0.3</v>
      </c>
    </row>
    <row r="18" spans="1:19" x14ac:dyDescent="0.25">
      <c r="A18" s="135">
        <v>45813</v>
      </c>
      <c r="B18" s="133">
        <f t="shared" si="3"/>
        <v>83400</v>
      </c>
      <c r="C18" s="140"/>
      <c r="D18" s="140"/>
      <c r="E18" s="140"/>
      <c r="F18" s="140"/>
      <c r="G18" s="140">
        <v>0.1</v>
      </c>
      <c r="H18" s="140"/>
      <c r="I18" s="140"/>
      <c r="J18" s="140">
        <v>0.2</v>
      </c>
      <c r="K18" s="141">
        <f t="shared" si="10"/>
        <v>303900</v>
      </c>
      <c r="L18">
        <f t="shared" si="11"/>
        <v>0.6</v>
      </c>
      <c r="M18">
        <f t="shared" si="4"/>
        <v>0.6</v>
      </c>
      <c r="N18">
        <f t="shared" si="5"/>
        <v>0</v>
      </c>
      <c r="O18">
        <f t="shared" si="12"/>
        <v>0</v>
      </c>
      <c r="P18">
        <f t="shared" si="6"/>
        <v>0.1</v>
      </c>
      <c r="Q18">
        <f t="shared" si="7"/>
        <v>0</v>
      </c>
      <c r="R18">
        <f t="shared" si="8"/>
        <v>0</v>
      </c>
      <c r="S18">
        <f t="shared" si="9"/>
        <v>0.5</v>
      </c>
    </row>
    <row r="19" spans="1:19" x14ac:dyDescent="0.25">
      <c r="A19" s="135">
        <v>45814</v>
      </c>
      <c r="B19" s="133">
        <f>SUMPRODUCT($C$3:$J$3,C19:J19)</f>
        <v>58800</v>
      </c>
      <c r="C19" s="140">
        <v>0.2</v>
      </c>
      <c r="D19" s="140">
        <v>0.2</v>
      </c>
      <c r="G19" s="140">
        <v>0.1</v>
      </c>
      <c r="H19" s="140"/>
      <c r="I19" s="140"/>
      <c r="J19" s="140"/>
      <c r="K19" s="141">
        <f t="shared" si="10"/>
        <v>362700</v>
      </c>
      <c r="L19">
        <f t="shared" si="11"/>
        <v>0.8</v>
      </c>
      <c r="M19">
        <f t="shared" si="4"/>
        <v>0.8</v>
      </c>
      <c r="N19">
        <f t="shared" si="5"/>
        <v>0</v>
      </c>
      <c r="O19">
        <f t="shared" si="12"/>
        <v>0</v>
      </c>
      <c r="P19">
        <f t="shared" si="6"/>
        <v>0.2</v>
      </c>
      <c r="Q19">
        <f t="shared" si="7"/>
        <v>0</v>
      </c>
      <c r="R19">
        <f t="shared" si="8"/>
        <v>0</v>
      </c>
      <c r="S19">
        <f t="shared" si="9"/>
        <v>0.5</v>
      </c>
    </row>
    <row r="20" spans="1:19" x14ac:dyDescent="0.25">
      <c r="A20" s="135">
        <v>45815</v>
      </c>
      <c r="B20" s="133">
        <f>SUMPRODUCT($C$3:$J$3,C20:J20)</f>
        <v>40800</v>
      </c>
      <c r="C20" s="140">
        <v>0.2</v>
      </c>
      <c r="D20" s="140">
        <v>0.2</v>
      </c>
      <c r="G20" s="140"/>
      <c r="H20" s="140"/>
      <c r="I20" s="140"/>
      <c r="J20" s="140"/>
      <c r="K20" s="141">
        <f t="shared" si="10"/>
        <v>403500</v>
      </c>
      <c r="L20">
        <f t="shared" si="11"/>
        <v>1</v>
      </c>
      <c r="M20">
        <f t="shared" si="4"/>
        <v>1</v>
      </c>
      <c r="N20">
        <f t="shared" si="5"/>
        <v>0</v>
      </c>
      <c r="O20">
        <f t="shared" si="12"/>
        <v>0</v>
      </c>
      <c r="P20">
        <f t="shared" si="6"/>
        <v>0.2</v>
      </c>
      <c r="Q20">
        <f t="shared" si="7"/>
        <v>0</v>
      </c>
      <c r="R20">
        <f t="shared" si="8"/>
        <v>0</v>
      </c>
      <c r="S20">
        <f t="shared" si="9"/>
        <v>0.5</v>
      </c>
    </row>
    <row r="21" spans="1:19" x14ac:dyDescent="0.25">
      <c r="A21" s="135">
        <v>45816</v>
      </c>
      <c r="B21" s="133">
        <f t="shared" si="3"/>
        <v>18000</v>
      </c>
      <c r="C21" s="140"/>
      <c r="D21" s="140"/>
      <c r="E21" s="140"/>
      <c r="F21" s="140"/>
      <c r="G21" s="140">
        <v>0.1</v>
      </c>
      <c r="H21" s="140"/>
      <c r="I21" s="140"/>
      <c r="J21" s="140"/>
      <c r="K21" s="141">
        <f t="shared" si="10"/>
        <v>421500</v>
      </c>
      <c r="L21">
        <f t="shared" si="11"/>
        <v>1</v>
      </c>
      <c r="M21">
        <f t="shared" si="4"/>
        <v>1</v>
      </c>
      <c r="N21">
        <f t="shared" si="5"/>
        <v>0</v>
      </c>
      <c r="O21">
        <f t="shared" si="12"/>
        <v>0</v>
      </c>
      <c r="P21">
        <f t="shared" si="6"/>
        <v>0.30000000000000004</v>
      </c>
      <c r="Q21">
        <f t="shared" si="7"/>
        <v>0</v>
      </c>
      <c r="R21">
        <f t="shared" si="8"/>
        <v>0</v>
      </c>
      <c r="S21">
        <f t="shared" si="9"/>
        <v>0.5</v>
      </c>
    </row>
    <row r="22" spans="1:19" x14ac:dyDescent="0.25">
      <c r="A22" s="135">
        <v>45817</v>
      </c>
      <c r="B22" s="133">
        <f t="shared" si="3"/>
        <v>105750</v>
      </c>
      <c r="C22" s="140"/>
      <c r="D22" s="140"/>
      <c r="E22" s="140">
        <v>0.1</v>
      </c>
      <c r="F22" s="140"/>
      <c r="G22" s="140"/>
      <c r="H22" s="140"/>
      <c r="I22" s="140"/>
      <c r="J22" s="140"/>
      <c r="K22" s="141">
        <f t="shared" si="10"/>
        <v>527250</v>
      </c>
      <c r="L22">
        <f t="shared" si="11"/>
        <v>1</v>
      </c>
      <c r="M22">
        <f t="shared" si="4"/>
        <v>1</v>
      </c>
      <c r="N22">
        <f t="shared" si="5"/>
        <v>0.1</v>
      </c>
      <c r="O22">
        <f t="shared" si="12"/>
        <v>0</v>
      </c>
      <c r="P22">
        <f t="shared" si="6"/>
        <v>0.30000000000000004</v>
      </c>
      <c r="Q22">
        <f t="shared" si="7"/>
        <v>0</v>
      </c>
      <c r="R22">
        <f t="shared" si="8"/>
        <v>0</v>
      </c>
      <c r="S22">
        <f t="shared" si="9"/>
        <v>0.5</v>
      </c>
    </row>
    <row r="23" spans="1:19" x14ac:dyDescent="0.25">
      <c r="A23" s="135">
        <v>45818</v>
      </c>
      <c r="B23" s="133">
        <f t="shared" si="3"/>
        <v>0</v>
      </c>
      <c r="C23" s="140"/>
      <c r="D23" s="140"/>
      <c r="E23" s="140"/>
      <c r="F23" s="140"/>
      <c r="G23" s="140"/>
      <c r="H23" s="140"/>
      <c r="I23" s="140"/>
      <c r="J23" s="140"/>
      <c r="K23" s="141">
        <f t="shared" si="10"/>
        <v>527250</v>
      </c>
      <c r="L23">
        <f t="shared" si="11"/>
        <v>1</v>
      </c>
      <c r="M23">
        <f t="shared" si="4"/>
        <v>1</v>
      </c>
      <c r="N23">
        <f t="shared" si="5"/>
        <v>0.1</v>
      </c>
      <c r="O23">
        <f t="shared" si="12"/>
        <v>0</v>
      </c>
      <c r="P23">
        <f t="shared" si="6"/>
        <v>0.30000000000000004</v>
      </c>
      <c r="Q23">
        <f t="shared" si="7"/>
        <v>0</v>
      </c>
      <c r="R23">
        <f t="shared" si="8"/>
        <v>0</v>
      </c>
      <c r="S23">
        <f t="shared" si="9"/>
        <v>0.5</v>
      </c>
    </row>
    <row r="24" spans="1:19" x14ac:dyDescent="0.25">
      <c r="A24" s="135">
        <v>45819</v>
      </c>
      <c r="B24" s="133">
        <f t="shared" si="3"/>
        <v>90000</v>
      </c>
      <c r="C24" s="140"/>
      <c r="D24" s="140"/>
      <c r="E24" s="140"/>
      <c r="F24" s="140">
        <v>0.1</v>
      </c>
      <c r="G24" s="140"/>
      <c r="H24" s="140"/>
      <c r="I24" s="140"/>
      <c r="J24" s="140"/>
      <c r="K24" s="141">
        <f t="shared" si="10"/>
        <v>617250</v>
      </c>
      <c r="L24">
        <f t="shared" si="11"/>
        <v>1</v>
      </c>
      <c r="M24">
        <f t="shared" si="4"/>
        <v>1</v>
      </c>
      <c r="N24">
        <f t="shared" si="5"/>
        <v>0.1</v>
      </c>
      <c r="O24">
        <f t="shared" si="12"/>
        <v>0.1</v>
      </c>
      <c r="P24">
        <f t="shared" si="6"/>
        <v>0.30000000000000004</v>
      </c>
      <c r="Q24">
        <f t="shared" si="7"/>
        <v>0</v>
      </c>
      <c r="R24">
        <f t="shared" si="8"/>
        <v>0</v>
      </c>
      <c r="S24">
        <f t="shared" si="9"/>
        <v>0.5</v>
      </c>
    </row>
    <row r="25" spans="1:19" x14ac:dyDescent="0.25">
      <c r="A25" s="135">
        <v>45820</v>
      </c>
      <c r="B25" s="133">
        <f t="shared" si="3"/>
        <v>90000</v>
      </c>
      <c r="C25" s="140"/>
      <c r="D25" s="140"/>
      <c r="E25" s="140"/>
      <c r="F25" s="140">
        <v>0.1</v>
      </c>
      <c r="G25" s="140"/>
      <c r="H25" s="140"/>
      <c r="I25" s="140"/>
      <c r="J25" s="140"/>
      <c r="K25" s="141">
        <f t="shared" si="10"/>
        <v>707250</v>
      </c>
      <c r="L25">
        <f t="shared" si="11"/>
        <v>1</v>
      </c>
      <c r="M25">
        <f t="shared" si="4"/>
        <v>1</v>
      </c>
      <c r="N25">
        <f t="shared" si="5"/>
        <v>0.1</v>
      </c>
      <c r="O25">
        <f t="shared" si="12"/>
        <v>0.2</v>
      </c>
      <c r="P25">
        <f t="shared" si="6"/>
        <v>0.30000000000000004</v>
      </c>
      <c r="Q25">
        <f t="shared" si="7"/>
        <v>0</v>
      </c>
      <c r="R25">
        <f t="shared" si="8"/>
        <v>0</v>
      </c>
      <c r="S25">
        <f t="shared" si="9"/>
        <v>0.5</v>
      </c>
    </row>
    <row r="26" spans="1:19" x14ac:dyDescent="0.25">
      <c r="A26" s="135">
        <v>45821</v>
      </c>
      <c r="B26" s="133">
        <f t="shared" si="3"/>
        <v>195750</v>
      </c>
      <c r="C26" s="140"/>
      <c r="D26" s="140"/>
      <c r="E26" s="140">
        <v>0.1</v>
      </c>
      <c r="F26" s="140">
        <v>0.1</v>
      </c>
      <c r="G26" s="140"/>
      <c r="H26" s="140"/>
      <c r="I26" s="140"/>
      <c r="J26" s="140"/>
      <c r="K26" s="141">
        <f t="shared" si="10"/>
        <v>903000</v>
      </c>
      <c r="L26">
        <f t="shared" si="11"/>
        <v>1</v>
      </c>
      <c r="M26">
        <f t="shared" si="4"/>
        <v>1</v>
      </c>
      <c r="N26">
        <f t="shared" si="5"/>
        <v>0.2</v>
      </c>
      <c r="O26">
        <f t="shared" si="12"/>
        <v>0.30000000000000004</v>
      </c>
      <c r="P26">
        <f t="shared" si="6"/>
        <v>0.30000000000000004</v>
      </c>
      <c r="Q26">
        <f t="shared" si="7"/>
        <v>0</v>
      </c>
      <c r="R26">
        <f t="shared" si="8"/>
        <v>0</v>
      </c>
      <c r="S26">
        <f t="shared" si="9"/>
        <v>0.5</v>
      </c>
    </row>
    <row r="27" spans="1:19" x14ac:dyDescent="0.25">
      <c r="A27" s="135">
        <v>45822</v>
      </c>
      <c r="B27" s="133">
        <f t="shared" si="3"/>
        <v>195750</v>
      </c>
      <c r="C27" s="140"/>
      <c r="D27" s="140"/>
      <c r="E27" s="140">
        <v>0.1</v>
      </c>
      <c r="F27" s="140">
        <v>0.1</v>
      </c>
      <c r="G27" s="140"/>
      <c r="H27" s="140"/>
      <c r="I27" s="140"/>
      <c r="J27" s="140"/>
      <c r="K27" s="141">
        <f t="shared" si="10"/>
        <v>1098750</v>
      </c>
      <c r="L27">
        <f t="shared" si="11"/>
        <v>1</v>
      </c>
      <c r="M27">
        <f t="shared" si="4"/>
        <v>1</v>
      </c>
      <c r="N27">
        <f t="shared" si="5"/>
        <v>0.30000000000000004</v>
      </c>
      <c r="O27">
        <f t="shared" si="12"/>
        <v>0.4</v>
      </c>
      <c r="P27">
        <f t="shared" si="6"/>
        <v>0.30000000000000004</v>
      </c>
      <c r="Q27">
        <f t="shared" si="7"/>
        <v>0</v>
      </c>
      <c r="R27">
        <f t="shared" si="8"/>
        <v>0</v>
      </c>
      <c r="S27">
        <f t="shared" si="9"/>
        <v>0.5</v>
      </c>
    </row>
    <row r="28" spans="1:19" x14ac:dyDescent="0.25">
      <c r="A28" s="135">
        <v>45823</v>
      </c>
      <c r="B28" s="133">
        <f t="shared" si="3"/>
        <v>195750</v>
      </c>
      <c r="C28" s="140"/>
      <c r="D28" s="140"/>
      <c r="E28" s="140">
        <v>0.1</v>
      </c>
      <c r="F28" s="140">
        <v>0.1</v>
      </c>
      <c r="G28" s="140"/>
      <c r="H28" s="140"/>
      <c r="I28" s="140"/>
      <c r="J28" s="140"/>
      <c r="K28" s="141">
        <f t="shared" si="10"/>
        <v>1294500</v>
      </c>
      <c r="L28">
        <f t="shared" si="11"/>
        <v>1</v>
      </c>
      <c r="M28">
        <f t="shared" si="4"/>
        <v>1</v>
      </c>
      <c r="N28">
        <f t="shared" si="5"/>
        <v>0.4</v>
      </c>
      <c r="O28">
        <f t="shared" si="12"/>
        <v>0.5</v>
      </c>
      <c r="P28">
        <f t="shared" si="6"/>
        <v>0.30000000000000004</v>
      </c>
      <c r="Q28">
        <f t="shared" si="7"/>
        <v>0</v>
      </c>
      <c r="R28">
        <f t="shared" si="8"/>
        <v>0</v>
      </c>
      <c r="S28">
        <f t="shared" si="9"/>
        <v>0.5</v>
      </c>
    </row>
    <row r="29" spans="1:19" x14ac:dyDescent="0.25">
      <c r="A29" s="135">
        <v>45824</v>
      </c>
      <c r="B29" s="133">
        <f t="shared" si="3"/>
        <v>105750</v>
      </c>
      <c r="C29" s="140"/>
      <c r="D29" s="140"/>
      <c r="E29" s="140">
        <v>0.1</v>
      </c>
      <c r="F29" s="140"/>
      <c r="G29" s="140"/>
      <c r="H29" s="140"/>
      <c r="I29" s="140"/>
      <c r="J29" s="140"/>
      <c r="K29" s="141">
        <f t="shared" si="10"/>
        <v>1400250</v>
      </c>
      <c r="L29">
        <f t="shared" si="11"/>
        <v>1</v>
      </c>
      <c r="M29">
        <f t="shared" si="4"/>
        <v>1</v>
      </c>
      <c r="N29">
        <f t="shared" si="5"/>
        <v>0.5</v>
      </c>
      <c r="O29">
        <f t="shared" si="12"/>
        <v>0.5</v>
      </c>
      <c r="P29">
        <f t="shared" si="6"/>
        <v>0.30000000000000004</v>
      </c>
      <c r="Q29">
        <f t="shared" si="7"/>
        <v>0</v>
      </c>
      <c r="R29">
        <f t="shared" si="8"/>
        <v>0</v>
      </c>
      <c r="S29">
        <f t="shared" si="9"/>
        <v>0.5</v>
      </c>
    </row>
    <row r="30" spans="1:19" x14ac:dyDescent="0.25">
      <c r="A30" s="135">
        <v>45825</v>
      </c>
      <c r="B30" s="133">
        <f t="shared" si="3"/>
        <v>0</v>
      </c>
      <c r="C30" s="140"/>
      <c r="D30" s="140"/>
      <c r="E30" s="140"/>
      <c r="F30" s="140"/>
      <c r="G30" s="140"/>
      <c r="H30" s="140"/>
      <c r="I30" s="140"/>
      <c r="J30" s="140"/>
      <c r="K30" s="141">
        <f t="shared" si="10"/>
        <v>1400250</v>
      </c>
      <c r="L30">
        <f t="shared" si="11"/>
        <v>1</v>
      </c>
      <c r="M30">
        <f t="shared" si="4"/>
        <v>1</v>
      </c>
      <c r="N30">
        <f t="shared" si="5"/>
        <v>0.5</v>
      </c>
      <c r="O30">
        <f t="shared" si="12"/>
        <v>0.5</v>
      </c>
      <c r="P30">
        <f t="shared" si="6"/>
        <v>0.30000000000000004</v>
      </c>
      <c r="Q30">
        <f t="shared" si="7"/>
        <v>0</v>
      </c>
      <c r="R30">
        <f t="shared" si="8"/>
        <v>0</v>
      </c>
      <c r="S30">
        <f t="shared" si="9"/>
        <v>0.5</v>
      </c>
    </row>
    <row r="31" spans="1:19" x14ac:dyDescent="0.25">
      <c r="A31" s="135">
        <v>45826</v>
      </c>
      <c r="B31" s="133">
        <f t="shared" si="3"/>
        <v>0</v>
      </c>
      <c r="C31" s="140"/>
      <c r="D31" s="140"/>
      <c r="E31" s="140"/>
      <c r="F31" s="140"/>
      <c r="G31" s="140"/>
      <c r="H31" s="140"/>
      <c r="I31" s="140"/>
      <c r="J31" s="140"/>
      <c r="K31" s="141">
        <f t="shared" si="10"/>
        <v>1400250</v>
      </c>
      <c r="L31">
        <f t="shared" si="11"/>
        <v>1</v>
      </c>
      <c r="M31">
        <f t="shared" si="4"/>
        <v>1</v>
      </c>
      <c r="N31">
        <f t="shared" si="5"/>
        <v>0.5</v>
      </c>
      <c r="O31">
        <f t="shared" si="12"/>
        <v>0.5</v>
      </c>
      <c r="P31">
        <f t="shared" si="6"/>
        <v>0.30000000000000004</v>
      </c>
      <c r="Q31">
        <f t="shared" si="7"/>
        <v>0</v>
      </c>
      <c r="R31">
        <f t="shared" si="8"/>
        <v>0</v>
      </c>
      <c r="S31">
        <f t="shared" si="9"/>
        <v>0.5</v>
      </c>
    </row>
    <row r="32" spans="1:19" x14ac:dyDescent="0.25">
      <c r="A32" s="135">
        <v>45827</v>
      </c>
      <c r="B32" s="133">
        <f t="shared" si="3"/>
        <v>123750</v>
      </c>
      <c r="C32" s="140"/>
      <c r="D32" s="140"/>
      <c r="E32" s="140">
        <v>0.1</v>
      </c>
      <c r="F32" s="140"/>
      <c r="G32" s="140">
        <v>0.1</v>
      </c>
      <c r="H32" s="140"/>
      <c r="I32" s="140"/>
      <c r="J32" s="140"/>
      <c r="K32" s="141">
        <f t="shared" si="10"/>
        <v>1524000</v>
      </c>
      <c r="L32">
        <f t="shared" si="11"/>
        <v>1</v>
      </c>
      <c r="M32">
        <f t="shared" si="4"/>
        <v>1</v>
      </c>
      <c r="N32">
        <f t="shared" si="5"/>
        <v>0.6</v>
      </c>
      <c r="O32">
        <f t="shared" si="12"/>
        <v>0.5</v>
      </c>
      <c r="P32">
        <f t="shared" si="6"/>
        <v>0.4</v>
      </c>
      <c r="Q32">
        <f t="shared" si="7"/>
        <v>0</v>
      </c>
      <c r="R32">
        <f t="shared" si="8"/>
        <v>0</v>
      </c>
      <c r="S32">
        <f t="shared" si="9"/>
        <v>0.5</v>
      </c>
    </row>
    <row r="33" spans="1:19" x14ac:dyDescent="0.25">
      <c r="A33" s="135">
        <v>45828</v>
      </c>
      <c r="B33" s="133">
        <f t="shared" si="3"/>
        <v>0</v>
      </c>
      <c r="C33" s="140"/>
      <c r="D33" s="140"/>
      <c r="E33" s="140"/>
      <c r="F33" s="140"/>
      <c r="G33" s="140"/>
      <c r="H33" s="140"/>
      <c r="I33" s="140"/>
      <c r="J33" s="140"/>
      <c r="K33" s="141">
        <f t="shared" si="10"/>
        <v>1524000</v>
      </c>
      <c r="L33">
        <f t="shared" si="11"/>
        <v>1</v>
      </c>
      <c r="M33">
        <f t="shared" si="4"/>
        <v>1</v>
      </c>
      <c r="N33">
        <f t="shared" si="5"/>
        <v>0.6</v>
      </c>
      <c r="O33">
        <f t="shared" si="12"/>
        <v>0.5</v>
      </c>
      <c r="P33">
        <f t="shared" si="6"/>
        <v>0.4</v>
      </c>
      <c r="Q33">
        <f t="shared" si="7"/>
        <v>0</v>
      </c>
      <c r="R33">
        <f t="shared" si="8"/>
        <v>0</v>
      </c>
      <c r="S33">
        <f t="shared" si="9"/>
        <v>0.5</v>
      </c>
    </row>
    <row r="34" spans="1:19" x14ac:dyDescent="0.25">
      <c r="A34" s="135">
        <v>45829</v>
      </c>
      <c r="B34" s="133">
        <f t="shared" si="3"/>
        <v>0</v>
      </c>
      <c r="C34" s="140"/>
      <c r="D34" s="140"/>
      <c r="E34" s="140"/>
      <c r="F34" s="140"/>
      <c r="G34" s="140"/>
      <c r="H34" s="140"/>
      <c r="I34" s="140"/>
      <c r="J34" s="140"/>
      <c r="K34" s="141">
        <f t="shared" si="10"/>
        <v>1524000</v>
      </c>
      <c r="L34">
        <f t="shared" si="11"/>
        <v>1</v>
      </c>
      <c r="M34">
        <f t="shared" si="4"/>
        <v>1</v>
      </c>
      <c r="N34">
        <f t="shared" si="5"/>
        <v>0.6</v>
      </c>
      <c r="O34">
        <f t="shared" si="12"/>
        <v>0.5</v>
      </c>
      <c r="P34">
        <f t="shared" si="6"/>
        <v>0.4</v>
      </c>
      <c r="Q34">
        <f t="shared" si="7"/>
        <v>0</v>
      </c>
      <c r="R34">
        <f t="shared" si="8"/>
        <v>0</v>
      </c>
      <c r="S34">
        <f t="shared" si="9"/>
        <v>0.5</v>
      </c>
    </row>
    <row r="35" spans="1:19" x14ac:dyDescent="0.25">
      <c r="A35" s="135">
        <v>45830</v>
      </c>
      <c r="B35" s="133">
        <f t="shared" si="3"/>
        <v>0</v>
      </c>
      <c r="C35" s="140"/>
      <c r="D35" s="140"/>
      <c r="E35" s="140"/>
      <c r="F35" s="140"/>
      <c r="G35" s="140"/>
      <c r="H35" s="140"/>
      <c r="I35" s="140"/>
      <c r="J35" s="140"/>
      <c r="K35" s="141">
        <f t="shared" si="10"/>
        <v>1524000</v>
      </c>
      <c r="L35">
        <f t="shared" si="11"/>
        <v>1</v>
      </c>
      <c r="M35">
        <f t="shared" si="4"/>
        <v>1</v>
      </c>
      <c r="N35">
        <f t="shared" si="5"/>
        <v>0.6</v>
      </c>
      <c r="O35">
        <f t="shared" si="12"/>
        <v>0.5</v>
      </c>
      <c r="P35">
        <f t="shared" si="6"/>
        <v>0.4</v>
      </c>
      <c r="Q35">
        <f t="shared" si="7"/>
        <v>0</v>
      </c>
      <c r="R35">
        <f t="shared" si="8"/>
        <v>0</v>
      </c>
      <c r="S35">
        <f t="shared" si="9"/>
        <v>0.5</v>
      </c>
    </row>
    <row r="36" spans="1:19" x14ac:dyDescent="0.25">
      <c r="A36" s="135">
        <v>45831</v>
      </c>
      <c r="B36" s="133">
        <f t="shared" si="3"/>
        <v>195750</v>
      </c>
      <c r="C36" s="140"/>
      <c r="D36" s="140"/>
      <c r="E36" s="140">
        <v>0.1</v>
      </c>
      <c r="F36" s="140">
        <v>0.1</v>
      </c>
      <c r="G36" s="140"/>
      <c r="H36" s="140"/>
      <c r="I36" s="140"/>
      <c r="J36" s="140"/>
      <c r="K36" s="141">
        <f t="shared" si="10"/>
        <v>1719750</v>
      </c>
      <c r="L36">
        <f t="shared" si="11"/>
        <v>1</v>
      </c>
      <c r="M36">
        <f t="shared" si="4"/>
        <v>1</v>
      </c>
      <c r="N36">
        <f t="shared" si="5"/>
        <v>0.7</v>
      </c>
      <c r="O36">
        <f t="shared" si="12"/>
        <v>0.6</v>
      </c>
      <c r="P36">
        <f t="shared" si="6"/>
        <v>0.4</v>
      </c>
      <c r="Q36">
        <f t="shared" si="7"/>
        <v>0</v>
      </c>
      <c r="R36">
        <f t="shared" si="8"/>
        <v>0</v>
      </c>
      <c r="S36">
        <f t="shared" si="9"/>
        <v>0.5</v>
      </c>
    </row>
    <row r="37" spans="1:19" x14ac:dyDescent="0.25">
      <c r="A37" s="135">
        <v>45832</v>
      </c>
      <c r="B37" s="133">
        <f t="shared" si="3"/>
        <v>253500</v>
      </c>
      <c r="C37" s="140"/>
      <c r="D37" s="140"/>
      <c r="E37" s="140"/>
      <c r="F37" s="140">
        <v>0.1</v>
      </c>
      <c r="G37" s="140"/>
      <c r="H37" s="140"/>
      <c r="I37" s="140"/>
      <c r="J37" s="140">
        <v>0.5</v>
      </c>
      <c r="K37" s="141">
        <f t="shared" si="10"/>
        <v>1973250</v>
      </c>
      <c r="L37">
        <f t="shared" si="11"/>
        <v>1</v>
      </c>
      <c r="M37">
        <f t="shared" si="4"/>
        <v>1</v>
      </c>
      <c r="N37">
        <f t="shared" si="5"/>
        <v>0.7</v>
      </c>
      <c r="O37">
        <f t="shared" si="12"/>
        <v>0.7</v>
      </c>
      <c r="P37">
        <f t="shared" si="6"/>
        <v>0.4</v>
      </c>
      <c r="Q37">
        <f t="shared" si="7"/>
        <v>0</v>
      </c>
      <c r="R37">
        <f t="shared" si="8"/>
        <v>0</v>
      </c>
      <c r="S37">
        <f t="shared" si="9"/>
        <v>1</v>
      </c>
    </row>
    <row r="38" spans="1:19" x14ac:dyDescent="0.25">
      <c r="A38" s="135">
        <v>45833</v>
      </c>
      <c r="B38" s="133">
        <f t="shared" si="3"/>
        <v>0</v>
      </c>
      <c r="C38" s="140"/>
      <c r="D38" s="140"/>
      <c r="E38" s="140"/>
      <c r="F38" s="140"/>
      <c r="G38" s="140"/>
      <c r="H38" s="140"/>
      <c r="I38" s="140"/>
      <c r="J38" s="140"/>
      <c r="K38" s="141">
        <f t="shared" si="10"/>
        <v>1973250</v>
      </c>
      <c r="L38">
        <f t="shared" si="11"/>
        <v>1</v>
      </c>
      <c r="M38">
        <f t="shared" si="4"/>
        <v>1</v>
      </c>
      <c r="N38">
        <f t="shared" si="5"/>
        <v>0.7</v>
      </c>
      <c r="O38">
        <f t="shared" si="12"/>
        <v>0.7</v>
      </c>
      <c r="P38">
        <f t="shared" si="6"/>
        <v>0.4</v>
      </c>
      <c r="Q38">
        <f t="shared" si="7"/>
        <v>0</v>
      </c>
      <c r="R38">
        <f t="shared" si="8"/>
        <v>0</v>
      </c>
      <c r="S38">
        <f t="shared" si="9"/>
        <v>1</v>
      </c>
    </row>
    <row r="39" spans="1:19" x14ac:dyDescent="0.25">
      <c r="A39" s="135">
        <v>45834</v>
      </c>
      <c r="B39" s="133">
        <f t="shared" si="3"/>
        <v>0</v>
      </c>
      <c r="C39" s="140"/>
      <c r="D39" s="140"/>
      <c r="E39" s="140"/>
      <c r="F39" s="140"/>
      <c r="G39" s="140"/>
      <c r="H39" s="140"/>
      <c r="I39" s="140"/>
      <c r="J39" s="140"/>
      <c r="K39" s="141">
        <f t="shared" si="10"/>
        <v>1973250</v>
      </c>
      <c r="L39">
        <f t="shared" si="11"/>
        <v>1</v>
      </c>
      <c r="M39">
        <f t="shared" si="4"/>
        <v>1</v>
      </c>
      <c r="N39">
        <f t="shared" si="5"/>
        <v>0.7</v>
      </c>
      <c r="O39">
        <f t="shared" si="12"/>
        <v>0.7</v>
      </c>
      <c r="P39">
        <f t="shared" si="6"/>
        <v>0.4</v>
      </c>
      <c r="Q39">
        <f t="shared" si="7"/>
        <v>0</v>
      </c>
      <c r="R39">
        <f t="shared" si="8"/>
        <v>0</v>
      </c>
      <c r="S39">
        <f t="shared" si="9"/>
        <v>1</v>
      </c>
    </row>
    <row r="40" spans="1:19" x14ac:dyDescent="0.25">
      <c r="A40" s="135">
        <v>45835</v>
      </c>
      <c r="B40" s="133">
        <f t="shared" si="3"/>
        <v>0</v>
      </c>
      <c r="C40" s="140"/>
      <c r="D40" s="140"/>
      <c r="E40" s="140"/>
      <c r="F40" s="140"/>
      <c r="G40" s="140"/>
      <c r="H40" s="140"/>
      <c r="I40" s="140"/>
      <c r="J40" s="140"/>
      <c r="K40" s="141">
        <f t="shared" si="10"/>
        <v>1973250</v>
      </c>
      <c r="L40">
        <f t="shared" si="11"/>
        <v>1</v>
      </c>
      <c r="M40">
        <f t="shared" si="4"/>
        <v>1</v>
      </c>
      <c r="N40">
        <f t="shared" si="5"/>
        <v>0.7</v>
      </c>
      <c r="O40">
        <f t="shared" si="12"/>
        <v>0.7</v>
      </c>
      <c r="P40">
        <f t="shared" si="6"/>
        <v>0.4</v>
      </c>
      <c r="Q40">
        <f t="shared" si="7"/>
        <v>0</v>
      </c>
      <c r="R40">
        <f t="shared" si="8"/>
        <v>0</v>
      </c>
      <c r="S40">
        <f t="shared" si="9"/>
        <v>1</v>
      </c>
    </row>
    <row r="41" spans="1:19" x14ac:dyDescent="0.25">
      <c r="A41" s="135">
        <v>45836</v>
      </c>
      <c r="B41" s="133">
        <f t="shared" si="3"/>
        <v>0</v>
      </c>
      <c r="C41" s="140"/>
      <c r="D41" s="140"/>
      <c r="E41" s="140"/>
      <c r="F41" s="140"/>
      <c r="G41" s="140"/>
      <c r="H41" s="140"/>
      <c r="I41" s="140"/>
      <c r="J41" s="140"/>
      <c r="K41" s="141">
        <f t="shared" si="10"/>
        <v>1973250</v>
      </c>
      <c r="L41">
        <f t="shared" si="11"/>
        <v>1</v>
      </c>
      <c r="M41">
        <f t="shared" si="4"/>
        <v>1</v>
      </c>
      <c r="N41">
        <f t="shared" si="5"/>
        <v>0.7</v>
      </c>
      <c r="O41">
        <f t="shared" si="12"/>
        <v>0.7</v>
      </c>
      <c r="P41">
        <f t="shared" si="6"/>
        <v>0.4</v>
      </c>
      <c r="Q41">
        <f t="shared" si="7"/>
        <v>0</v>
      </c>
      <c r="R41">
        <f t="shared" si="8"/>
        <v>0</v>
      </c>
      <c r="S41">
        <f t="shared" si="9"/>
        <v>1</v>
      </c>
    </row>
    <row r="42" spans="1:19" x14ac:dyDescent="0.25">
      <c r="A42" s="135">
        <v>45837</v>
      </c>
      <c r="B42" s="133">
        <f t="shared" si="3"/>
        <v>0</v>
      </c>
      <c r="C42" s="140"/>
      <c r="D42" s="140"/>
      <c r="E42" s="140"/>
      <c r="F42" s="140"/>
      <c r="G42" s="140"/>
      <c r="H42" s="140"/>
      <c r="I42" s="140"/>
      <c r="J42" s="140"/>
      <c r="K42" s="141">
        <f t="shared" si="10"/>
        <v>1973250</v>
      </c>
      <c r="L42">
        <f t="shared" si="11"/>
        <v>1</v>
      </c>
      <c r="M42">
        <f t="shared" si="4"/>
        <v>1</v>
      </c>
      <c r="N42">
        <f t="shared" si="5"/>
        <v>0.7</v>
      </c>
      <c r="O42">
        <f t="shared" si="12"/>
        <v>0.7</v>
      </c>
      <c r="P42">
        <f t="shared" si="6"/>
        <v>0.4</v>
      </c>
      <c r="Q42">
        <f t="shared" si="7"/>
        <v>0</v>
      </c>
      <c r="R42">
        <f t="shared" si="8"/>
        <v>0</v>
      </c>
      <c r="S42">
        <f t="shared" si="9"/>
        <v>1</v>
      </c>
    </row>
    <row r="43" spans="1:19" x14ac:dyDescent="0.25">
      <c r="A43" s="135">
        <v>45838</v>
      </c>
      <c r="B43" s="133">
        <f t="shared" si="3"/>
        <v>0</v>
      </c>
      <c r="C43" s="140"/>
      <c r="D43" s="140"/>
      <c r="E43" s="140"/>
      <c r="F43" s="140"/>
      <c r="G43" s="140"/>
      <c r="H43" s="140"/>
      <c r="I43" s="140"/>
      <c r="J43" s="140"/>
      <c r="K43" s="141">
        <f t="shared" si="10"/>
        <v>1973250</v>
      </c>
      <c r="L43">
        <f t="shared" si="11"/>
        <v>1</v>
      </c>
      <c r="M43">
        <f t="shared" si="4"/>
        <v>1</v>
      </c>
      <c r="N43">
        <f t="shared" si="5"/>
        <v>0.7</v>
      </c>
      <c r="O43">
        <f t="shared" si="12"/>
        <v>0.7</v>
      </c>
      <c r="P43">
        <f t="shared" si="6"/>
        <v>0.4</v>
      </c>
      <c r="Q43">
        <f t="shared" si="7"/>
        <v>0</v>
      </c>
      <c r="R43">
        <f t="shared" si="8"/>
        <v>0</v>
      </c>
      <c r="S43">
        <f t="shared" si="9"/>
        <v>1</v>
      </c>
    </row>
    <row r="44" spans="1:19" x14ac:dyDescent="0.25">
      <c r="A44" s="135">
        <v>45839</v>
      </c>
      <c r="B44" s="133">
        <f t="shared" si="3"/>
        <v>0</v>
      </c>
      <c r="C44" s="140"/>
      <c r="D44" s="140"/>
      <c r="E44" s="140"/>
      <c r="F44" s="140"/>
      <c r="G44" s="140"/>
      <c r="H44" s="140"/>
      <c r="I44" s="140"/>
      <c r="J44" s="140"/>
      <c r="K44" s="141">
        <f t="shared" si="10"/>
        <v>1973250</v>
      </c>
      <c r="L44">
        <f t="shared" ref="L44:L73" si="13">C44+L43</f>
        <v>1</v>
      </c>
      <c r="M44">
        <f t="shared" si="4"/>
        <v>1</v>
      </c>
      <c r="N44">
        <f t="shared" si="5"/>
        <v>0.7</v>
      </c>
      <c r="O44">
        <f t="shared" si="12"/>
        <v>0.7</v>
      </c>
      <c r="P44">
        <f t="shared" si="6"/>
        <v>0.4</v>
      </c>
      <c r="Q44">
        <f t="shared" si="7"/>
        <v>0</v>
      </c>
      <c r="R44">
        <f t="shared" si="8"/>
        <v>0</v>
      </c>
      <c r="S44">
        <f t="shared" si="9"/>
        <v>1</v>
      </c>
    </row>
    <row r="45" spans="1:19" x14ac:dyDescent="0.25">
      <c r="A45" s="135">
        <v>45840</v>
      </c>
      <c r="B45" s="133">
        <f t="shared" si="3"/>
        <v>0</v>
      </c>
      <c r="C45" s="140"/>
      <c r="D45" s="140"/>
      <c r="E45" s="140"/>
      <c r="F45" s="140"/>
      <c r="G45" s="140"/>
      <c r="H45" s="140"/>
      <c r="I45" s="140"/>
      <c r="J45" s="140"/>
      <c r="K45" s="141">
        <f t="shared" si="10"/>
        <v>1973250</v>
      </c>
      <c r="L45">
        <f t="shared" si="13"/>
        <v>1</v>
      </c>
      <c r="M45">
        <f t="shared" si="4"/>
        <v>1</v>
      </c>
      <c r="N45">
        <f t="shared" si="5"/>
        <v>0.7</v>
      </c>
      <c r="O45">
        <f t="shared" si="12"/>
        <v>0.7</v>
      </c>
      <c r="P45">
        <f t="shared" si="6"/>
        <v>0.4</v>
      </c>
      <c r="Q45">
        <f t="shared" si="7"/>
        <v>0</v>
      </c>
      <c r="R45">
        <f t="shared" si="8"/>
        <v>0</v>
      </c>
      <c r="S45">
        <f t="shared" si="9"/>
        <v>1</v>
      </c>
    </row>
    <row r="46" spans="1:19" x14ac:dyDescent="0.25">
      <c r="A46" s="135">
        <v>45841</v>
      </c>
      <c r="B46" s="133">
        <f t="shared" si="3"/>
        <v>0</v>
      </c>
      <c r="C46" s="140"/>
      <c r="D46" s="140"/>
      <c r="E46" s="140"/>
      <c r="F46" s="140"/>
      <c r="G46" s="140"/>
      <c r="H46" s="140"/>
      <c r="I46" s="140"/>
      <c r="J46" s="140"/>
      <c r="K46" s="141">
        <f t="shared" si="10"/>
        <v>1973250</v>
      </c>
      <c r="L46">
        <f t="shared" si="13"/>
        <v>1</v>
      </c>
      <c r="M46">
        <f t="shared" si="4"/>
        <v>1</v>
      </c>
      <c r="N46">
        <f t="shared" si="5"/>
        <v>0.7</v>
      </c>
      <c r="O46">
        <f t="shared" si="12"/>
        <v>0.7</v>
      </c>
      <c r="P46">
        <f t="shared" si="6"/>
        <v>0.4</v>
      </c>
      <c r="Q46">
        <f t="shared" si="7"/>
        <v>0</v>
      </c>
      <c r="R46">
        <f t="shared" si="8"/>
        <v>0</v>
      </c>
      <c r="S46">
        <f t="shared" si="9"/>
        <v>1</v>
      </c>
    </row>
    <row r="47" spans="1:19" x14ac:dyDescent="0.25">
      <c r="A47" s="135">
        <v>45842</v>
      </c>
      <c r="B47" s="133">
        <f t="shared" si="3"/>
        <v>0</v>
      </c>
      <c r="C47" s="140"/>
      <c r="D47" s="140"/>
      <c r="E47" s="140"/>
      <c r="F47" s="140"/>
      <c r="G47" s="140"/>
      <c r="H47" s="140"/>
      <c r="I47" s="140"/>
      <c r="J47" s="140"/>
      <c r="K47" s="141">
        <f t="shared" si="10"/>
        <v>1973250</v>
      </c>
      <c r="L47">
        <f t="shared" si="13"/>
        <v>1</v>
      </c>
      <c r="M47">
        <f t="shared" si="4"/>
        <v>1</v>
      </c>
      <c r="N47">
        <f t="shared" si="5"/>
        <v>0.7</v>
      </c>
      <c r="O47">
        <f t="shared" si="12"/>
        <v>0.7</v>
      </c>
      <c r="P47">
        <f t="shared" si="6"/>
        <v>0.4</v>
      </c>
      <c r="Q47">
        <f t="shared" si="7"/>
        <v>0</v>
      </c>
      <c r="R47">
        <f t="shared" si="8"/>
        <v>0</v>
      </c>
      <c r="S47">
        <f t="shared" si="9"/>
        <v>1</v>
      </c>
    </row>
    <row r="48" spans="1:19" x14ac:dyDescent="0.25">
      <c r="A48" s="135">
        <v>45843</v>
      </c>
      <c r="B48" s="133">
        <f t="shared" si="3"/>
        <v>0</v>
      </c>
      <c r="C48" s="140"/>
      <c r="D48" s="140"/>
      <c r="E48" s="140"/>
      <c r="F48" s="140"/>
      <c r="G48" s="140"/>
      <c r="H48" s="140"/>
      <c r="I48" s="140"/>
      <c r="J48" s="140"/>
      <c r="K48" s="141">
        <f t="shared" si="10"/>
        <v>1973250</v>
      </c>
      <c r="L48">
        <f t="shared" si="13"/>
        <v>1</v>
      </c>
      <c r="M48">
        <f t="shared" si="4"/>
        <v>1</v>
      </c>
      <c r="N48">
        <f t="shared" si="5"/>
        <v>0.7</v>
      </c>
      <c r="O48">
        <f t="shared" si="12"/>
        <v>0.7</v>
      </c>
      <c r="P48">
        <f t="shared" si="6"/>
        <v>0.4</v>
      </c>
      <c r="Q48">
        <f t="shared" si="7"/>
        <v>0</v>
      </c>
      <c r="R48">
        <f t="shared" si="8"/>
        <v>0</v>
      </c>
      <c r="S48">
        <f t="shared" si="9"/>
        <v>1</v>
      </c>
    </row>
    <row r="49" spans="1:19" x14ac:dyDescent="0.25">
      <c r="A49" s="135">
        <v>45844</v>
      </c>
      <c r="B49" s="133">
        <f t="shared" si="3"/>
        <v>0</v>
      </c>
      <c r="C49" s="140"/>
      <c r="D49" s="140"/>
      <c r="E49" s="140"/>
      <c r="F49" s="140"/>
      <c r="G49" s="140"/>
      <c r="H49" s="140"/>
      <c r="I49" s="140"/>
      <c r="J49" s="140"/>
      <c r="K49" s="141">
        <f t="shared" si="10"/>
        <v>1973250</v>
      </c>
      <c r="L49">
        <f t="shared" si="13"/>
        <v>1</v>
      </c>
      <c r="M49">
        <f t="shared" si="4"/>
        <v>1</v>
      </c>
      <c r="N49">
        <f t="shared" si="5"/>
        <v>0.7</v>
      </c>
      <c r="O49">
        <f t="shared" si="12"/>
        <v>0.7</v>
      </c>
      <c r="P49">
        <f t="shared" si="6"/>
        <v>0.4</v>
      </c>
      <c r="Q49">
        <f t="shared" si="7"/>
        <v>0</v>
      </c>
      <c r="R49">
        <f t="shared" si="8"/>
        <v>0</v>
      </c>
      <c r="S49">
        <f t="shared" si="9"/>
        <v>1</v>
      </c>
    </row>
    <row r="50" spans="1:19" x14ac:dyDescent="0.25">
      <c r="A50" s="135">
        <v>45845</v>
      </c>
      <c r="B50" s="133">
        <f t="shared" si="3"/>
        <v>0</v>
      </c>
      <c r="C50" s="140"/>
      <c r="D50" s="140"/>
      <c r="E50" s="140"/>
      <c r="F50" s="140"/>
      <c r="G50" s="140"/>
      <c r="H50" s="140"/>
      <c r="I50" s="140"/>
      <c r="J50" s="140"/>
      <c r="K50" s="141">
        <f t="shared" si="10"/>
        <v>1973250</v>
      </c>
      <c r="L50">
        <f t="shared" si="13"/>
        <v>1</v>
      </c>
      <c r="M50">
        <f t="shared" si="4"/>
        <v>1</v>
      </c>
      <c r="N50">
        <f t="shared" si="5"/>
        <v>0.7</v>
      </c>
      <c r="O50">
        <f t="shared" si="12"/>
        <v>0.7</v>
      </c>
      <c r="P50">
        <f t="shared" si="6"/>
        <v>0.4</v>
      </c>
      <c r="Q50">
        <f t="shared" si="7"/>
        <v>0</v>
      </c>
      <c r="R50">
        <f t="shared" si="8"/>
        <v>0</v>
      </c>
      <c r="S50">
        <f t="shared" si="9"/>
        <v>1</v>
      </c>
    </row>
    <row r="51" spans="1:19" x14ac:dyDescent="0.25">
      <c r="A51" s="135">
        <v>45846</v>
      </c>
      <c r="B51" s="133">
        <f t="shared" si="3"/>
        <v>0</v>
      </c>
      <c r="C51" s="140"/>
      <c r="D51" s="140"/>
      <c r="E51" s="140"/>
      <c r="F51" s="140"/>
      <c r="G51" s="140"/>
      <c r="H51" s="140"/>
      <c r="I51" s="140"/>
      <c r="J51" s="140"/>
      <c r="K51" s="141">
        <f t="shared" si="10"/>
        <v>1973250</v>
      </c>
      <c r="L51">
        <f t="shared" si="13"/>
        <v>1</v>
      </c>
      <c r="M51">
        <f t="shared" si="4"/>
        <v>1</v>
      </c>
      <c r="N51">
        <f t="shared" si="5"/>
        <v>0.7</v>
      </c>
      <c r="O51">
        <f t="shared" si="12"/>
        <v>0.7</v>
      </c>
      <c r="P51">
        <f t="shared" si="6"/>
        <v>0.4</v>
      </c>
      <c r="Q51">
        <f t="shared" si="7"/>
        <v>0</v>
      </c>
      <c r="R51">
        <f t="shared" si="8"/>
        <v>0</v>
      </c>
      <c r="S51">
        <f t="shared" si="9"/>
        <v>1</v>
      </c>
    </row>
    <row r="52" spans="1:19" x14ac:dyDescent="0.25">
      <c r="A52" s="135">
        <v>45847</v>
      </c>
      <c r="B52" s="133">
        <f t="shared" si="3"/>
        <v>0</v>
      </c>
      <c r="C52" s="140"/>
      <c r="D52" s="140"/>
      <c r="E52" s="140"/>
      <c r="F52" s="140"/>
      <c r="G52" s="140"/>
      <c r="H52" s="140"/>
      <c r="I52" s="140"/>
      <c r="J52" s="140"/>
      <c r="K52" s="141">
        <f t="shared" si="10"/>
        <v>1973250</v>
      </c>
      <c r="L52">
        <f t="shared" si="13"/>
        <v>1</v>
      </c>
      <c r="M52">
        <f t="shared" si="4"/>
        <v>1</v>
      </c>
      <c r="N52">
        <f t="shared" si="5"/>
        <v>0.7</v>
      </c>
      <c r="O52">
        <f t="shared" si="12"/>
        <v>0.7</v>
      </c>
      <c r="P52">
        <f t="shared" si="6"/>
        <v>0.4</v>
      </c>
      <c r="Q52">
        <f t="shared" si="7"/>
        <v>0</v>
      </c>
      <c r="R52">
        <f t="shared" si="8"/>
        <v>0</v>
      </c>
      <c r="S52">
        <f t="shared" si="9"/>
        <v>1</v>
      </c>
    </row>
    <row r="53" spans="1:19" x14ac:dyDescent="0.25">
      <c r="A53" s="135">
        <v>45848</v>
      </c>
      <c r="B53" s="133">
        <f t="shared" si="3"/>
        <v>0</v>
      </c>
      <c r="C53" s="140"/>
      <c r="D53" s="140"/>
      <c r="E53" s="140"/>
      <c r="F53" s="140"/>
      <c r="G53" s="140"/>
      <c r="H53" s="140"/>
      <c r="I53" s="140"/>
      <c r="J53" s="140"/>
      <c r="K53" s="141">
        <f t="shared" si="10"/>
        <v>1973250</v>
      </c>
      <c r="L53">
        <f t="shared" si="13"/>
        <v>1</v>
      </c>
      <c r="M53">
        <f t="shared" si="4"/>
        <v>1</v>
      </c>
      <c r="N53">
        <f t="shared" si="5"/>
        <v>0.7</v>
      </c>
      <c r="O53">
        <f t="shared" si="12"/>
        <v>0.7</v>
      </c>
      <c r="P53">
        <f t="shared" si="6"/>
        <v>0.4</v>
      </c>
      <c r="Q53">
        <f t="shared" si="7"/>
        <v>0</v>
      </c>
      <c r="R53">
        <f t="shared" si="8"/>
        <v>0</v>
      </c>
      <c r="S53">
        <f t="shared" si="9"/>
        <v>1</v>
      </c>
    </row>
    <row r="54" spans="1:19" x14ac:dyDescent="0.25">
      <c r="A54" s="135">
        <v>45849</v>
      </c>
      <c r="B54" s="133">
        <f t="shared" si="3"/>
        <v>0</v>
      </c>
      <c r="C54" s="140"/>
      <c r="D54" s="140"/>
      <c r="E54" s="140"/>
      <c r="F54" s="140"/>
      <c r="G54" s="140"/>
      <c r="H54" s="140"/>
      <c r="I54" s="140"/>
      <c r="J54" s="140"/>
      <c r="K54" s="141">
        <f t="shared" si="10"/>
        <v>1973250</v>
      </c>
      <c r="L54">
        <f t="shared" si="13"/>
        <v>1</v>
      </c>
      <c r="M54">
        <f t="shared" si="4"/>
        <v>1</v>
      </c>
      <c r="N54">
        <f t="shared" si="5"/>
        <v>0.7</v>
      </c>
      <c r="O54">
        <f t="shared" si="12"/>
        <v>0.7</v>
      </c>
      <c r="P54">
        <f t="shared" si="6"/>
        <v>0.4</v>
      </c>
      <c r="Q54">
        <f t="shared" si="7"/>
        <v>0</v>
      </c>
      <c r="R54">
        <f t="shared" si="8"/>
        <v>0</v>
      </c>
      <c r="S54">
        <f t="shared" si="9"/>
        <v>1</v>
      </c>
    </row>
    <row r="55" spans="1:19" x14ac:dyDescent="0.25">
      <c r="A55" s="135">
        <v>45850</v>
      </c>
      <c r="B55" s="133">
        <f t="shared" si="3"/>
        <v>0</v>
      </c>
      <c r="C55" s="140"/>
      <c r="D55" s="140"/>
      <c r="E55" s="140"/>
      <c r="F55" s="140"/>
      <c r="G55" s="140"/>
      <c r="H55" s="140"/>
      <c r="I55" s="140"/>
      <c r="J55" s="140"/>
      <c r="K55" s="141">
        <f t="shared" si="10"/>
        <v>1973250</v>
      </c>
      <c r="L55">
        <f t="shared" si="13"/>
        <v>1</v>
      </c>
      <c r="M55">
        <f t="shared" si="4"/>
        <v>1</v>
      </c>
      <c r="N55">
        <f t="shared" si="5"/>
        <v>0.7</v>
      </c>
      <c r="O55">
        <f t="shared" si="12"/>
        <v>0.7</v>
      </c>
      <c r="P55">
        <f t="shared" si="6"/>
        <v>0.4</v>
      </c>
      <c r="Q55">
        <f t="shared" si="7"/>
        <v>0</v>
      </c>
      <c r="R55">
        <f t="shared" si="8"/>
        <v>0</v>
      </c>
      <c r="S55">
        <f t="shared" si="9"/>
        <v>1</v>
      </c>
    </row>
    <row r="56" spans="1:19" x14ac:dyDescent="0.25">
      <c r="A56" s="135">
        <v>45851</v>
      </c>
      <c r="B56" s="133">
        <f t="shared" si="3"/>
        <v>0</v>
      </c>
      <c r="C56" s="140"/>
      <c r="D56" s="140"/>
      <c r="E56" s="140"/>
      <c r="F56" s="140"/>
      <c r="G56" s="140"/>
      <c r="H56" s="140"/>
      <c r="I56" s="140"/>
      <c r="J56" s="140"/>
      <c r="K56" s="141">
        <f t="shared" si="10"/>
        <v>1973250</v>
      </c>
      <c r="L56">
        <f t="shared" si="13"/>
        <v>1</v>
      </c>
      <c r="M56">
        <f t="shared" si="4"/>
        <v>1</v>
      </c>
      <c r="N56">
        <f t="shared" si="5"/>
        <v>0.7</v>
      </c>
      <c r="O56">
        <f t="shared" si="12"/>
        <v>0.7</v>
      </c>
      <c r="P56">
        <f t="shared" si="6"/>
        <v>0.4</v>
      </c>
      <c r="Q56">
        <f t="shared" si="7"/>
        <v>0</v>
      </c>
      <c r="R56">
        <f t="shared" si="8"/>
        <v>0</v>
      </c>
      <c r="S56">
        <f t="shared" si="9"/>
        <v>1</v>
      </c>
    </row>
    <row r="57" spans="1:19" x14ac:dyDescent="0.25">
      <c r="A57" s="135">
        <v>45852</v>
      </c>
      <c r="B57" s="133">
        <f t="shared" si="3"/>
        <v>0</v>
      </c>
      <c r="C57" s="140"/>
      <c r="D57" s="140"/>
      <c r="E57" s="140"/>
      <c r="F57" s="140"/>
      <c r="G57" s="140"/>
      <c r="H57" s="140"/>
      <c r="I57" s="140"/>
      <c r="J57" s="140"/>
      <c r="K57" s="141">
        <f t="shared" si="10"/>
        <v>1973250</v>
      </c>
      <c r="L57">
        <f t="shared" si="13"/>
        <v>1</v>
      </c>
      <c r="M57">
        <f t="shared" si="4"/>
        <v>1</v>
      </c>
      <c r="N57">
        <f t="shared" si="5"/>
        <v>0.7</v>
      </c>
      <c r="O57">
        <f t="shared" si="12"/>
        <v>0.7</v>
      </c>
      <c r="P57">
        <f t="shared" si="6"/>
        <v>0.4</v>
      </c>
      <c r="Q57">
        <f t="shared" si="7"/>
        <v>0</v>
      </c>
      <c r="R57">
        <f t="shared" si="8"/>
        <v>0</v>
      </c>
      <c r="S57">
        <f t="shared" si="9"/>
        <v>1</v>
      </c>
    </row>
    <row r="58" spans="1:19" x14ac:dyDescent="0.25">
      <c r="A58" s="135">
        <v>45853</v>
      </c>
      <c r="B58" s="133">
        <f t="shared" si="3"/>
        <v>0</v>
      </c>
      <c r="C58" s="140"/>
      <c r="D58" s="140"/>
      <c r="E58" s="140"/>
      <c r="F58" s="140"/>
      <c r="G58" s="140"/>
      <c r="H58" s="140"/>
      <c r="I58" s="140"/>
      <c r="J58" s="140"/>
      <c r="K58" s="141">
        <f t="shared" si="10"/>
        <v>1973250</v>
      </c>
      <c r="L58">
        <f t="shared" si="13"/>
        <v>1</v>
      </c>
      <c r="M58">
        <f t="shared" si="4"/>
        <v>1</v>
      </c>
      <c r="N58">
        <f t="shared" si="5"/>
        <v>0.7</v>
      </c>
      <c r="O58">
        <f t="shared" si="12"/>
        <v>0.7</v>
      </c>
      <c r="P58">
        <f t="shared" si="6"/>
        <v>0.4</v>
      </c>
      <c r="Q58">
        <f t="shared" si="7"/>
        <v>0</v>
      </c>
      <c r="R58">
        <f t="shared" si="8"/>
        <v>0</v>
      </c>
      <c r="S58">
        <f t="shared" si="9"/>
        <v>1</v>
      </c>
    </row>
    <row r="59" spans="1:19" x14ac:dyDescent="0.25">
      <c r="A59" s="135">
        <v>45854</v>
      </c>
      <c r="B59" s="133">
        <f t="shared" si="3"/>
        <v>0</v>
      </c>
      <c r="C59" s="140"/>
      <c r="D59" s="140"/>
      <c r="E59" s="140"/>
      <c r="F59" s="140"/>
      <c r="G59" s="140"/>
      <c r="H59" s="140"/>
      <c r="I59" s="140"/>
      <c r="J59" s="140"/>
      <c r="K59" s="141">
        <f t="shared" si="10"/>
        <v>1973250</v>
      </c>
      <c r="L59">
        <f t="shared" si="13"/>
        <v>1</v>
      </c>
      <c r="M59">
        <f t="shared" si="4"/>
        <v>1</v>
      </c>
      <c r="N59">
        <f t="shared" si="5"/>
        <v>0.7</v>
      </c>
      <c r="O59">
        <f t="shared" si="12"/>
        <v>0.7</v>
      </c>
      <c r="P59">
        <f t="shared" si="6"/>
        <v>0.4</v>
      </c>
      <c r="Q59">
        <f t="shared" si="7"/>
        <v>0</v>
      </c>
      <c r="R59">
        <f t="shared" si="8"/>
        <v>0</v>
      </c>
      <c r="S59">
        <f t="shared" si="9"/>
        <v>1</v>
      </c>
    </row>
    <row r="60" spans="1:19" x14ac:dyDescent="0.25">
      <c r="A60" s="135">
        <v>45855</v>
      </c>
      <c r="B60" s="133">
        <f t="shared" si="3"/>
        <v>0</v>
      </c>
      <c r="C60" s="140"/>
      <c r="D60" s="140"/>
      <c r="E60" s="140"/>
      <c r="F60" s="140"/>
      <c r="G60" s="140"/>
      <c r="H60" s="140"/>
      <c r="I60" s="140"/>
      <c r="J60" s="140"/>
      <c r="K60" s="141">
        <f t="shared" si="10"/>
        <v>1973250</v>
      </c>
      <c r="L60">
        <f t="shared" si="13"/>
        <v>1</v>
      </c>
      <c r="M60">
        <f t="shared" si="4"/>
        <v>1</v>
      </c>
      <c r="N60">
        <f t="shared" si="5"/>
        <v>0.7</v>
      </c>
      <c r="O60">
        <f t="shared" si="12"/>
        <v>0.7</v>
      </c>
      <c r="P60">
        <f t="shared" si="6"/>
        <v>0.4</v>
      </c>
      <c r="Q60">
        <f t="shared" si="7"/>
        <v>0</v>
      </c>
      <c r="R60">
        <f t="shared" si="8"/>
        <v>0</v>
      </c>
      <c r="S60">
        <f t="shared" si="9"/>
        <v>1</v>
      </c>
    </row>
    <row r="61" spans="1:19" x14ac:dyDescent="0.25">
      <c r="A61" s="135">
        <v>45856</v>
      </c>
      <c r="B61" s="133">
        <f t="shared" si="3"/>
        <v>0</v>
      </c>
      <c r="C61" s="140"/>
      <c r="D61" s="140"/>
      <c r="E61" s="140"/>
      <c r="F61" s="140"/>
      <c r="G61" s="140"/>
      <c r="H61" s="140"/>
      <c r="I61" s="140"/>
      <c r="J61" s="140"/>
      <c r="K61" s="141">
        <f t="shared" si="10"/>
        <v>1973250</v>
      </c>
      <c r="L61">
        <f t="shared" si="13"/>
        <v>1</v>
      </c>
      <c r="M61">
        <f t="shared" si="4"/>
        <v>1</v>
      </c>
      <c r="N61">
        <f t="shared" si="5"/>
        <v>0.7</v>
      </c>
      <c r="O61">
        <f t="shared" si="12"/>
        <v>0.7</v>
      </c>
      <c r="P61">
        <f t="shared" si="6"/>
        <v>0.4</v>
      </c>
      <c r="Q61">
        <f t="shared" si="7"/>
        <v>0</v>
      </c>
      <c r="R61">
        <f t="shared" si="8"/>
        <v>0</v>
      </c>
      <c r="S61">
        <f t="shared" si="9"/>
        <v>1</v>
      </c>
    </row>
    <row r="62" spans="1:19" x14ac:dyDescent="0.25">
      <c r="A62" s="135">
        <v>45857</v>
      </c>
      <c r="B62" s="133">
        <f t="shared" si="3"/>
        <v>0</v>
      </c>
      <c r="C62" s="140"/>
      <c r="D62" s="140"/>
      <c r="E62" s="140"/>
      <c r="F62" s="140"/>
      <c r="G62" s="140"/>
      <c r="H62" s="140"/>
      <c r="I62" s="140"/>
      <c r="J62" s="140"/>
      <c r="K62" s="141">
        <f t="shared" si="10"/>
        <v>1973250</v>
      </c>
      <c r="L62">
        <f t="shared" si="13"/>
        <v>1</v>
      </c>
      <c r="M62">
        <f t="shared" si="4"/>
        <v>1</v>
      </c>
      <c r="N62">
        <f t="shared" si="5"/>
        <v>0.7</v>
      </c>
      <c r="O62">
        <f t="shared" si="12"/>
        <v>0.7</v>
      </c>
      <c r="P62">
        <f t="shared" si="6"/>
        <v>0.4</v>
      </c>
      <c r="Q62">
        <f t="shared" si="7"/>
        <v>0</v>
      </c>
      <c r="R62">
        <f t="shared" si="8"/>
        <v>0</v>
      </c>
      <c r="S62">
        <f t="shared" si="9"/>
        <v>1</v>
      </c>
    </row>
    <row r="63" spans="1:19" x14ac:dyDescent="0.25">
      <c r="A63" s="135">
        <v>45858</v>
      </c>
      <c r="B63" s="133">
        <f t="shared" si="3"/>
        <v>0</v>
      </c>
      <c r="C63" s="140"/>
      <c r="D63" s="140"/>
      <c r="E63" s="140"/>
      <c r="F63" s="140"/>
      <c r="G63" s="140"/>
      <c r="H63" s="140"/>
      <c r="I63" s="140"/>
      <c r="J63" s="140"/>
      <c r="K63" s="141">
        <f t="shared" si="10"/>
        <v>1973250</v>
      </c>
      <c r="L63">
        <f t="shared" si="13"/>
        <v>1</v>
      </c>
      <c r="M63">
        <f t="shared" si="4"/>
        <v>1</v>
      </c>
      <c r="N63">
        <f t="shared" si="5"/>
        <v>0.7</v>
      </c>
      <c r="O63">
        <f t="shared" si="12"/>
        <v>0.7</v>
      </c>
      <c r="P63">
        <f t="shared" si="6"/>
        <v>0.4</v>
      </c>
      <c r="Q63">
        <f t="shared" si="7"/>
        <v>0</v>
      </c>
      <c r="R63">
        <f t="shared" si="8"/>
        <v>0</v>
      </c>
      <c r="S63">
        <f t="shared" si="9"/>
        <v>1</v>
      </c>
    </row>
    <row r="64" spans="1:19" x14ac:dyDescent="0.25">
      <c r="A64" s="135">
        <v>45859</v>
      </c>
      <c r="B64" s="133">
        <f t="shared" si="3"/>
        <v>0</v>
      </c>
      <c r="C64" s="140"/>
      <c r="D64" s="140"/>
      <c r="E64" s="140"/>
      <c r="F64" s="140"/>
      <c r="G64" s="140"/>
      <c r="H64" s="140"/>
      <c r="I64" s="140"/>
      <c r="J64" s="140"/>
      <c r="K64" s="141">
        <f t="shared" si="10"/>
        <v>1973250</v>
      </c>
      <c r="L64">
        <f t="shared" si="13"/>
        <v>1</v>
      </c>
      <c r="M64">
        <f t="shared" si="4"/>
        <v>1</v>
      </c>
      <c r="N64">
        <f t="shared" si="5"/>
        <v>0.7</v>
      </c>
      <c r="O64">
        <f t="shared" si="12"/>
        <v>0.7</v>
      </c>
      <c r="P64">
        <f t="shared" si="6"/>
        <v>0.4</v>
      </c>
      <c r="Q64">
        <f t="shared" si="7"/>
        <v>0</v>
      </c>
      <c r="R64">
        <f t="shared" si="8"/>
        <v>0</v>
      </c>
      <c r="S64">
        <f t="shared" si="9"/>
        <v>1</v>
      </c>
    </row>
    <row r="65" spans="1:19" x14ac:dyDescent="0.25">
      <c r="A65" s="135">
        <v>45860</v>
      </c>
      <c r="B65" s="133">
        <f t="shared" si="3"/>
        <v>0</v>
      </c>
      <c r="C65" s="140"/>
      <c r="D65" s="140"/>
      <c r="E65" s="140"/>
      <c r="F65" s="140"/>
      <c r="G65" s="140"/>
      <c r="H65" s="140"/>
      <c r="I65" s="140"/>
      <c r="J65" s="140"/>
      <c r="K65" s="141">
        <f t="shared" si="10"/>
        <v>1973250</v>
      </c>
      <c r="L65">
        <f t="shared" si="13"/>
        <v>1</v>
      </c>
      <c r="M65">
        <f t="shared" si="4"/>
        <v>1</v>
      </c>
      <c r="N65">
        <f t="shared" si="5"/>
        <v>0.7</v>
      </c>
      <c r="O65">
        <f t="shared" si="12"/>
        <v>0.7</v>
      </c>
      <c r="P65">
        <f t="shared" si="6"/>
        <v>0.4</v>
      </c>
      <c r="Q65">
        <f t="shared" si="7"/>
        <v>0</v>
      </c>
      <c r="R65">
        <f t="shared" si="8"/>
        <v>0</v>
      </c>
      <c r="S65">
        <f t="shared" si="9"/>
        <v>1</v>
      </c>
    </row>
    <row r="66" spans="1:19" x14ac:dyDescent="0.25">
      <c r="A66" s="135">
        <v>45861</v>
      </c>
      <c r="B66" s="133">
        <f t="shared" si="3"/>
        <v>0</v>
      </c>
      <c r="C66" s="140"/>
      <c r="D66" s="140"/>
      <c r="E66" s="140"/>
      <c r="F66" s="140"/>
      <c r="G66" s="140"/>
      <c r="H66" s="140"/>
      <c r="I66" s="140"/>
      <c r="J66" s="140"/>
      <c r="K66" s="141">
        <f t="shared" si="10"/>
        <v>1973250</v>
      </c>
      <c r="L66">
        <f t="shared" si="13"/>
        <v>1</v>
      </c>
      <c r="M66">
        <f t="shared" si="4"/>
        <v>1</v>
      </c>
      <c r="N66">
        <f t="shared" si="5"/>
        <v>0.7</v>
      </c>
      <c r="O66">
        <f t="shared" si="12"/>
        <v>0.7</v>
      </c>
      <c r="P66">
        <f t="shared" si="6"/>
        <v>0.4</v>
      </c>
      <c r="Q66">
        <f t="shared" si="7"/>
        <v>0</v>
      </c>
      <c r="R66">
        <f t="shared" si="8"/>
        <v>0</v>
      </c>
      <c r="S66">
        <f t="shared" si="9"/>
        <v>1</v>
      </c>
    </row>
    <row r="67" spans="1:19" x14ac:dyDescent="0.25">
      <c r="A67" s="135">
        <v>45862</v>
      </c>
      <c r="B67" s="133">
        <f t="shared" si="3"/>
        <v>0</v>
      </c>
      <c r="C67" s="140"/>
      <c r="D67" s="140"/>
      <c r="E67" s="140"/>
      <c r="F67" s="140"/>
      <c r="G67" s="140"/>
      <c r="H67" s="140"/>
      <c r="I67" s="140"/>
      <c r="J67" s="140"/>
      <c r="K67" s="141">
        <f t="shared" si="10"/>
        <v>1973250</v>
      </c>
      <c r="L67">
        <f t="shared" si="13"/>
        <v>1</v>
      </c>
      <c r="M67">
        <f t="shared" si="4"/>
        <v>1</v>
      </c>
      <c r="N67">
        <f t="shared" si="5"/>
        <v>0.7</v>
      </c>
      <c r="O67">
        <f t="shared" si="12"/>
        <v>0.7</v>
      </c>
      <c r="P67">
        <f t="shared" si="6"/>
        <v>0.4</v>
      </c>
      <c r="Q67">
        <f t="shared" si="7"/>
        <v>0</v>
      </c>
      <c r="R67">
        <f t="shared" si="8"/>
        <v>0</v>
      </c>
      <c r="S67">
        <f t="shared" si="9"/>
        <v>1</v>
      </c>
    </row>
    <row r="68" spans="1:19" x14ac:dyDescent="0.25">
      <c r="A68" s="135">
        <v>45863</v>
      </c>
      <c r="B68" s="133">
        <f t="shared" si="3"/>
        <v>0</v>
      </c>
      <c r="C68" s="140"/>
      <c r="D68" s="140"/>
      <c r="E68" s="140"/>
      <c r="F68" s="140"/>
      <c r="G68" s="140"/>
      <c r="H68" s="140"/>
      <c r="I68" s="140"/>
      <c r="J68" s="140"/>
      <c r="K68" s="141">
        <f t="shared" si="10"/>
        <v>1973250</v>
      </c>
      <c r="L68">
        <f t="shared" si="13"/>
        <v>1</v>
      </c>
      <c r="M68">
        <f t="shared" si="4"/>
        <v>1</v>
      </c>
      <c r="N68">
        <f t="shared" si="5"/>
        <v>0.7</v>
      </c>
      <c r="O68">
        <f t="shared" si="12"/>
        <v>0.7</v>
      </c>
      <c r="P68">
        <f t="shared" si="6"/>
        <v>0.4</v>
      </c>
      <c r="Q68">
        <f t="shared" si="7"/>
        <v>0</v>
      </c>
      <c r="R68">
        <f t="shared" si="8"/>
        <v>0</v>
      </c>
      <c r="S68">
        <f t="shared" si="9"/>
        <v>1</v>
      </c>
    </row>
    <row r="69" spans="1:19" x14ac:dyDescent="0.25">
      <c r="A69" s="135">
        <v>45864</v>
      </c>
      <c r="B69" s="133">
        <f t="shared" si="3"/>
        <v>0</v>
      </c>
      <c r="C69" s="140"/>
      <c r="D69" s="140"/>
      <c r="E69" s="140"/>
      <c r="F69" s="140"/>
      <c r="G69" s="140"/>
      <c r="H69" s="140"/>
      <c r="I69" s="140"/>
      <c r="J69" s="140"/>
      <c r="K69" s="141">
        <f t="shared" si="10"/>
        <v>1973250</v>
      </c>
      <c r="L69">
        <f t="shared" si="13"/>
        <v>1</v>
      </c>
      <c r="M69">
        <f t="shared" si="4"/>
        <v>1</v>
      </c>
      <c r="N69">
        <f t="shared" si="5"/>
        <v>0.7</v>
      </c>
      <c r="O69">
        <f t="shared" si="12"/>
        <v>0.7</v>
      </c>
      <c r="P69">
        <f t="shared" si="6"/>
        <v>0.4</v>
      </c>
      <c r="Q69">
        <f t="shared" si="7"/>
        <v>0</v>
      </c>
      <c r="R69">
        <f t="shared" si="8"/>
        <v>0</v>
      </c>
      <c r="S69">
        <f t="shared" si="9"/>
        <v>1</v>
      </c>
    </row>
    <row r="70" spans="1:19" x14ac:dyDescent="0.25">
      <c r="A70" s="135">
        <v>45865</v>
      </c>
      <c r="B70" s="133">
        <f t="shared" si="3"/>
        <v>0</v>
      </c>
      <c r="C70" s="140"/>
      <c r="D70" s="140"/>
      <c r="E70" s="140"/>
      <c r="F70" s="140"/>
      <c r="G70" s="140"/>
      <c r="H70" s="140"/>
      <c r="I70" s="140"/>
      <c r="J70" s="140"/>
      <c r="K70" s="141">
        <f t="shared" si="10"/>
        <v>1973250</v>
      </c>
      <c r="L70">
        <f t="shared" si="13"/>
        <v>1</v>
      </c>
      <c r="M70">
        <f t="shared" si="4"/>
        <v>1</v>
      </c>
      <c r="N70">
        <f t="shared" si="5"/>
        <v>0.7</v>
      </c>
      <c r="O70">
        <f t="shared" si="12"/>
        <v>0.7</v>
      </c>
      <c r="P70">
        <f t="shared" si="6"/>
        <v>0.4</v>
      </c>
      <c r="Q70">
        <f t="shared" si="7"/>
        <v>0</v>
      </c>
      <c r="R70">
        <f t="shared" si="8"/>
        <v>0</v>
      </c>
      <c r="S70">
        <f t="shared" si="9"/>
        <v>1</v>
      </c>
    </row>
    <row r="71" spans="1:19" x14ac:dyDescent="0.25">
      <c r="A71" s="135">
        <v>45866</v>
      </c>
      <c r="B71" s="133">
        <f t="shared" si="3"/>
        <v>0</v>
      </c>
      <c r="C71" s="140"/>
      <c r="D71" s="140"/>
      <c r="E71" s="140"/>
      <c r="F71" s="140"/>
      <c r="G71" s="140"/>
      <c r="H71" s="140"/>
      <c r="I71" s="140"/>
      <c r="J71" s="140"/>
      <c r="K71" s="141">
        <f t="shared" si="10"/>
        <v>1973250</v>
      </c>
      <c r="L71">
        <f t="shared" si="13"/>
        <v>1</v>
      </c>
      <c r="M71">
        <f t="shared" si="4"/>
        <v>1</v>
      </c>
      <c r="N71">
        <f t="shared" si="5"/>
        <v>0.7</v>
      </c>
      <c r="O71">
        <f t="shared" si="12"/>
        <v>0.7</v>
      </c>
      <c r="P71">
        <f t="shared" si="6"/>
        <v>0.4</v>
      </c>
      <c r="Q71">
        <f t="shared" si="7"/>
        <v>0</v>
      </c>
      <c r="R71">
        <f t="shared" si="8"/>
        <v>0</v>
      </c>
      <c r="S71">
        <f t="shared" si="9"/>
        <v>1</v>
      </c>
    </row>
    <row r="72" spans="1:19" x14ac:dyDescent="0.25">
      <c r="A72" s="135">
        <v>45867</v>
      </c>
      <c r="B72" s="133">
        <f t="shared" si="3"/>
        <v>0</v>
      </c>
      <c r="C72" s="140"/>
      <c r="D72" s="140"/>
      <c r="E72" s="140"/>
      <c r="F72" s="140"/>
      <c r="G72" s="140"/>
      <c r="H72" s="140"/>
      <c r="I72" s="140"/>
      <c r="J72" s="140"/>
      <c r="K72" s="141">
        <f t="shared" si="10"/>
        <v>1973250</v>
      </c>
      <c r="L72">
        <f t="shared" si="13"/>
        <v>1</v>
      </c>
      <c r="M72">
        <f t="shared" si="4"/>
        <v>1</v>
      </c>
      <c r="N72">
        <f t="shared" si="5"/>
        <v>0.7</v>
      </c>
      <c r="O72">
        <f t="shared" si="12"/>
        <v>0.7</v>
      </c>
      <c r="P72">
        <f t="shared" si="6"/>
        <v>0.4</v>
      </c>
      <c r="Q72">
        <f t="shared" si="7"/>
        <v>0</v>
      </c>
      <c r="R72">
        <f t="shared" si="8"/>
        <v>0</v>
      </c>
      <c r="S72">
        <f t="shared" si="9"/>
        <v>1</v>
      </c>
    </row>
    <row r="73" spans="1:19" x14ac:dyDescent="0.25">
      <c r="A73" s="135">
        <v>45868</v>
      </c>
      <c r="B73" s="133">
        <f t="shared" ref="B73:B127" si="14">SUMPRODUCT($C$3:$J$3,C73:J73)</f>
        <v>0</v>
      </c>
      <c r="C73" s="140"/>
      <c r="D73" s="140"/>
      <c r="E73" s="140"/>
      <c r="F73" s="140"/>
      <c r="G73" s="140"/>
      <c r="H73" s="140"/>
      <c r="I73" s="140"/>
      <c r="J73" s="140"/>
      <c r="K73" s="141">
        <f t="shared" si="10"/>
        <v>1973250</v>
      </c>
      <c r="L73">
        <f t="shared" si="13"/>
        <v>1</v>
      </c>
      <c r="M73">
        <f t="shared" ref="M73:N127" si="15">D73+M72</f>
        <v>1</v>
      </c>
      <c r="N73">
        <f t="shared" si="15"/>
        <v>0.7</v>
      </c>
      <c r="O73">
        <f t="shared" si="12"/>
        <v>0.7</v>
      </c>
      <c r="P73">
        <f t="shared" ref="P73:P127" si="16">G73+P72</f>
        <v>0.4</v>
      </c>
      <c r="Q73">
        <f t="shared" ref="Q73:Q127" si="17">H73+Q72</f>
        <v>0</v>
      </c>
      <c r="R73">
        <f t="shared" ref="R73:R127" si="18">I73+R72</f>
        <v>0</v>
      </c>
      <c r="S73">
        <f t="shared" ref="S73:S127" si="19">J73+S72</f>
        <v>1</v>
      </c>
    </row>
    <row r="74" spans="1:19" x14ac:dyDescent="0.25">
      <c r="A74" s="135">
        <v>45869</v>
      </c>
      <c r="B74" s="133">
        <f t="shared" si="14"/>
        <v>0</v>
      </c>
      <c r="C74" s="140"/>
      <c r="D74" s="140"/>
      <c r="E74" s="140"/>
      <c r="F74" s="140"/>
      <c r="G74" s="140"/>
      <c r="H74" s="140"/>
      <c r="I74" s="140"/>
      <c r="J74" s="140"/>
      <c r="K74" s="141">
        <f t="shared" ref="K74:K127" si="20">B74+K73</f>
        <v>1973250</v>
      </c>
      <c r="L74">
        <f t="shared" ref="L74:L127" si="21">C74+L73</f>
        <v>1</v>
      </c>
      <c r="M74">
        <f t="shared" si="15"/>
        <v>1</v>
      </c>
      <c r="N74">
        <f t="shared" si="15"/>
        <v>0.7</v>
      </c>
      <c r="O74">
        <f t="shared" ref="O74:O127" si="22">F74+O73</f>
        <v>0.7</v>
      </c>
      <c r="P74">
        <f t="shared" si="16"/>
        <v>0.4</v>
      </c>
      <c r="Q74">
        <f t="shared" si="17"/>
        <v>0</v>
      </c>
      <c r="R74">
        <f t="shared" si="18"/>
        <v>0</v>
      </c>
      <c r="S74">
        <f t="shared" si="19"/>
        <v>1</v>
      </c>
    </row>
    <row r="75" spans="1:19" x14ac:dyDescent="0.25">
      <c r="A75" s="135">
        <v>45870</v>
      </c>
      <c r="B75" s="133">
        <f t="shared" si="14"/>
        <v>0</v>
      </c>
      <c r="C75" s="140"/>
      <c r="D75" s="140"/>
      <c r="E75" s="140"/>
      <c r="F75" s="140"/>
      <c r="G75" s="140"/>
      <c r="H75" s="140"/>
      <c r="I75" s="140"/>
      <c r="J75" s="140"/>
      <c r="K75" s="141">
        <f t="shared" si="20"/>
        <v>1973250</v>
      </c>
      <c r="L75">
        <f t="shared" si="21"/>
        <v>1</v>
      </c>
      <c r="M75">
        <f t="shared" si="15"/>
        <v>1</v>
      </c>
      <c r="N75">
        <f t="shared" si="15"/>
        <v>0.7</v>
      </c>
      <c r="O75">
        <f t="shared" si="22"/>
        <v>0.7</v>
      </c>
      <c r="P75">
        <f t="shared" si="16"/>
        <v>0.4</v>
      </c>
      <c r="Q75">
        <f t="shared" si="17"/>
        <v>0</v>
      </c>
      <c r="R75">
        <f t="shared" si="18"/>
        <v>0</v>
      </c>
      <c r="S75">
        <f t="shared" si="19"/>
        <v>1</v>
      </c>
    </row>
    <row r="76" spans="1:19" x14ac:dyDescent="0.25">
      <c r="A76" s="135">
        <v>45871</v>
      </c>
      <c r="B76" s="133">
        <f t="shared" si="14"/>
        <v>0</v>
      </c>
      <c r="C76" s="140"/>
      <c r="D76" s="140"/>
      <c r="E76" s="140"/>
      <c r="F76" s="140"/>
      <c r="G76" s="140"/>
      <c r="H76" s="140"/>
      <c r="I76" s="140"/>
      <c r="J76" s="140"/>
      <c r="K76" s="141">
        <f t="shared" si="20"/>
        <v>1973250</v>
      </c>
      <c r="L76">
        <f t="shared" si="21"/>
        <v>1</v>
      </c>
      <c r="M76">
        <f t="shared" si="15"/>
        <v>1</v>
      </c>
      <c r="N76">
        <f t="shared" si="15"/>
        <v>0.7</v>
      </c>
      <c r="O76">
        <f t="shared" si="22"/>
        <v>0.7</v>
      </c>
      <c r="P76">
        <f t="shared" si="16"/>
        <v>0.4</v>
      </c>
      <c r="Q76">
        <f t="shared" si="17"/>
        <v>0</v>
      </c>
      <c r="R76">
        <f t="shared" si="18"/>
        <v>0</v>
      </c>
      <c r="S76">
        <f t="shared" si="19"/>
        <v>1</v>
      </c>
    </row>
    <row r="77" spans="1:19" x14ac:dyDescent="0.25">
      <c r="A77" s="135">
        <v>45872</v>
      </c>
      <c r="B77" s="133">
        <f t="shared" si="14"/>
        <v>0</v>
      </c>
      <c r="C77" s="140"/>
      <c r="D77" s="140"/>
      <c r="E77" s="140"/>
      <c r="F77" s="140"/>
      <c r="G77" s="140"/>
      <c r="H77" s="140"/>
      <c r="I77" s="140"/>
      <c r="J77" s="140"/>
      <c r="K77" s="141">
        <f t="shared" si="20"/>
        <v>1973250</v>
      </c>
      <c r="L77">
        <f t="shared" si="21"/>
        <v>1</v>
      </c>
      <c r="M77">
        <f t="shared" si="15"/>
        <v>1</v>
      </c>
      <c r="N77">
        <f t="shared" si="15"/>
        <v>0.7</v>
      </c>
      <c r="O77">
        <f t="shared" si="22"/>
        <v>0.7</v>
      </c>
      <c r="P77">
        <f t="shared" si="16"/>
        <v>0.4</v>
      </c>
      <c r="Q77">
        <f t="shared" si="17"/>
        <v>0</v>
      </c>
      <c r="R77">
        <f t="shared" si="18"/>
        <v>0</v>
      </c>
      <c r="S77">
        <f t="shared" si="19"/>
        <v>1</v>
      </c>
    </row>
    <row r="78" spans="1:19" x14ac:dyDescent="0.25">
      <c r="A78" s="135">
        <v>45873</v>
      </c>
      <c r="B78" s="133">
        <f t="shared" si="14"/>
        <v>0</v>
      </c>
      <c r="C78" s="140"/>
      <c r="D78" s="140"/>
      <c r="E78" s="140"/>
      <c r="F78" s="140"/>
      <c r="G78" s="140"/>
      <c r="H78" s="140"/>
      <c r="I78" s="140"/>
      <c r="J78" s="140"/>
      <c r="K78" s="141">
        <f t="shared" si="20"/>
        <v>1973250</v>
      </c>
      <c r="L78">
        <f t="shared" si="21"/>
        <v>1</v>
      </c>
      <c r="M78">
        <f t="shared" si="15"/>
        <v>1</v>
      </c>
      <c r="N78">
        <f t="shared" si="15"/>
        <v>0.7</v>
      </c>
      <c r="O78">
        <f t="shared" si="22"/>
        <v>0.7</v>
      </c>
      <c r="P78">
        <f t="shared" si="16"/>
        <v>0.4</v>
      </c>
      <c r="Q78">
        <f t="shared" si="17"/>
        <v>0</v>
      </c>
      <c r="R78">
        <f t="shared" si="18"/>
        <v>0</v>
      </c>
      <c r="S78">
        <f t="shared" si="19"/>
        <v>1</v>
      </c>
    </row>
    <row r="79" spans="1:19" x14ac:dyDescent="0.25">
      <c r="A79" s="135">
        <v>45874</v>
      </c>
      <c r="B79" s="133">
        <f t="shared" si="14"/>
        <v>0</v>
      </c>
      <c r="C79" s="140"/>
      <c r="D79" s="140"/>
      <c r="E79" s="140"/>
      <c r="F79" s="140"/>
      <c r="G79" s="140"/>
      <c r="H79" s="140"/>
      <c r="I79" s="140"/>
      <c r="J79" s="140"/>
      <c r="K79" s="141">
        <f t="shared" si="20"/>
        <v>1973250</v>
      </c>
      <c r="L79">
        <f t="shared" si="21"/>
        <v>1</v>
      </c>
      <c r="M79">
        <f t="shared" si="15"/>
        <v>1</v>
      </c>
      <c r="N79">
        <f t="shared" si="15"/>
        <v>0.7</v>
      </c>
      <c r="O79">
        <f t="shared" si="22"/>
        <v>0.7</v>
      </c>
      <c r="P79">
        <f t="shared" si="16"/>
        <v>0.4</v>
      </c>
      <c r="Q79">
        <f t="shared" si="17"/>
        <v>0</v>
      </c>
      <c r="R79">
        <f t="shared" si="18"/>
        <v>0</v>
      </c>
      <c r="S79">
        <f t="shared" si="19"/>
        <v>1</v>
      </c>
    </row>
    <row r="80" spans="1:19" x14ac:dyDescent="0.25">
      <c r="A80" s="135">
        <v>45875</v>
      </c>
      <c r="B80" s="133">
        <f t="shared" si="14"/>
        <v>0</v>
      </c>
      <c r="C80" s="140"/>
      <c r="D80" s="140"/>
      <c r="E80" s="140"/>
      <c r="F80" s="140"/>
      <c r="G80" s="140"/>
      <c r="H80" s="140"/>
      <c r="I80" s="140"/>
      <c r="J80" s="140"/>
      <c r="K80" s="141">
        <f t="shared" si="20"/>
        <v>1973250</v>
      </c>
      <c r="L80">
        <f t="shared" si="21"/>
        <v>1</v>
      </c>
      <c r="M80">
        <f t="shared" si="15"/>
        <v>1</v>
      </c>
      <c r="N80">
        <f t="shared" si="15"/>
        <v>0.7</v>
      </c>
      <c r="O80">
        <f t="shared" si="22"/>
        <v>0.7</v>
      </c>
      <c r="P80">
        <f t="shared" si="16"/>
        <v>0.4</v>
      </c>
      <c r="Q80">
        <f t="shared" si="17"/>
        <v>0</v>
      </c>
      <c r="R80">
        <f t="shared" si="18"/>
        <v>0</v>
      </c>
      <c r="S80">
        <f t="shared" si="19"/>
        <v>1</v>
      </c>
    </row>
    <row r="81" spans="1:19" x14ac:dyDescent="0.25">
      <c r="A81" s="135">
        <v>45876</v>
      </c>
      <c r="B81" s="133">
        <f t="shared" si="14"/>
        <v>0</v>
      </c>
      <c r="C81" s="140"/>
      <c r="D81" s="140"/>
      <c r="E81" s="140"/>
      <c r="F81" s="140"/>
      <c r="G81" s="140"/>
      <c r="H81" s="140"/>
      <c r="I81" s="140"/>
      <c r="J81" s="140"/>
      <c r="K81" s="141">
        <f t="shared" si="20"/>
        <v>1973250</v>
      </c>
      <c r="L81">
        <f t="shared" si="21"/>
        <v>1</v>
      </c>
      <c r="M81">
        <f t="shared" si="15"/>
        <v>1</v>
      </c>
      <c r="N81">
        <f t="shared" si="15"/>
        <v>0.7</v>
      </c>
      <c r="O81">
        <f t="shared" si="22"/>
        <v>0.7</v>
      </c>
      <c r="P81">
        <f t="shared" si="16"/>
        <v>0.4</v>
      </c>
      <c r="Q81">
        <f t="shared" si="17"/>
        <v>0</v>
      </c>
      <c r="R81">
        <f t="shared" si="18"/>
        <v>0</v>
      </c>
      <c r="S81">
        <f t="shared" si="19"/>
        <v>1</v>
      </c>
    </row>
    <row r="82" spans="1:19" x14ac:dyDescent="0.25">
      <c r="A82" s="135">
        <v>45877</v>
      </c>
      <c r="B82" s="133">
        <f t="shared" si="14"/>
        <v>0</v>
      </c>
      <c r="C82" s="140"/>
      <c r="D82" s="140"/>
      <c r="E82" s="140"/>
      <c r="F82" s="140"/>
      <c r="G82" s="140"/>
      <c r="H82" s="140"/>
      <c r="I82" s="140"/>
      <c r="J82" s="140"/>
      <c r="K82" s="141">
        <f t="shared" si="20"/>
        <v>1973250</v>
      </c>
      <c r="L82">
        <f t="shared" si="21"/>
        <v>1</v>
      </c>
      <c r="M82">
        <f t="shared" si="15"/>
        <v>1</v>
      </c>
      <c r="N82">
        <f t="shared" si="15"/>
        <v>0.7</v>
      </c>
      <c r="O82">
        <f t="shared" si="22"/>
        <v>0.7</v>
      </c>
      <c r="P82">
        <f t="shared" si="16"/>
        <v>0.4</v>
      </c>
      <c r="Q82">
        <f t="shared" si="17"/>
        <v>0</v>
      </c>
      <c r="R82">
        <f t="shared" si="18"/>
        <v>0</v>
      </c>
      <c r="S82">
        <f t="shared" si="19"/>
        <v>1</v>
      </c>
    </row>
    <row r="83" spans="1:19" x14ac:dyDescent="0.25">
      <c r="A83" s="135">
        <v>45878</v>
      </c>
      <c r="B83" s="133">
        <f t="shared" si="14"/>
        <v>0</v>
      </c>
      <c r="C83" s="140"/>
      <c r="D83" s="140"/>
      <c r="E83" s="140"/>
      <c r="F83" s="140"/>
      <c r="G83" s="140"/>
      <c r="H83" s="140"/>
      <c r="I83" s="140"/>
      <c r="J83" s="140"/>
      <c r="K83" s="141">
        <f t="shared" si="20"/>
        <v>1973250</v>
      </c>
      <c r="L83">
        <f t="shared" si="21"/>
        <v>1</v>
      </c>
      <c r="M83">
        <f t="shared" si="15"/>
        <v>1</v>
      </c>
      <c r="N83">
        <f t="shared" si="15"/>
        <v>0.7</v>
      </c>
      <c r="O83">
        <f t="shared" si="22"/>
        <v>0.7</v>
      </c>
      <c r="P83">
        <f t="shared" si="16"/>
        <v>0.4</v>
      </c>
      <c r="Q83">
        <f t="shared" si="17"/>
        <v>0</v>
      </c>
      <c r="R83">
        <f t="shared" si="18"/>
        <v>0</v>
      </c>
      <c r="S83">
        <f t="shared" si="19"/>
        <v>1</v>
      </c>
    </row>
    <row r="84" spans="1:19" x14ac:dyDescent="0.25">
      <c r="A84" s="135">
        <v>45879</v>
      </c>
      <c r="B84" s="133">
        <f t="shared" si="14"/>
        <v>0</v>
      </c>
      <c r="C84" s="140"/>
      <c r="D84" s="140"/>
      <c r="E84" s="140"/>
      <c r="F84" s="140"/>
      <c r="G84" s="140"/>
      <c r="H84" s="140"/>
      <c r="I84" s="140"/>
      <c r="J84" s="140"/>
      <c r="K84" s="141">
        <f t="shared" si="20"/>
        <v>1973250</v>
      </c>
      <c r="L84">
        <f t="shared" si="21"/>
        <v>1</v>
      </c>
      <c r="M84">
        <f t="shared" si="15"/>
        <v>1</v>
      </c>
      <c r="N84">
        <f t="shared" si="15"/>
        <v>0.7</v>
      </c>
      <c r="O84">
        <f t="shared" si="22"/>
        <v>0.7</v>
      </c>
      <c r="P84">
        <f t="shared" si="16"/>
        <v>0.4</v>
      </c>
      <c r="Q84">
        <f t="shared" si="17"/>
        <v>0</v>
      </c>
      <c r="R84">
        <f t="shared" si="18"/>
        <v>0</v>
      </c>
      <c r="S84">
        <f t="shared" si="19"/>
        <v>1</v>
      </c>
    </row>
    <row r="85" spans="1:19" x14ac:dyDescent="0.25">
      <c r="A85" s="135">
        <v>45880</v>
      </c>
      <c r="B85" s="133">
        <f t="shared" si="14"/>
        <v>0</v>
      </c>
      <c r="C85" s="140"/>
      <c r="D85" s="140"/>
      <c r="E85" s="140"/>
      <c r="F85" s="140"/>
      <c r="G85" s="140"/>
      <c r="H85" s="140"/>
      <c r="I85" s="140"/>
      <c r="J85" s="140"/>
      <c r="K85" s="141">
        <f t="shared" si="20"/>
        <v>1973250</v>
      </c>
      <c r="L85">
        <f t="shared" si="21"/>
        <v>1</v>
      </c>
      <c r="M85">
        <f t="shared" si="15"/>
        <v>1</v>
      </c>
      <c r="N85">
        <f t="shared" si="15"/>
        <v>0.7</v>
      </c>
      <c r="O85">
        <f t="shared" si="22"/>
        <v>0.7</v>
      </c>
      <c r="P85">
        <f t="shared" si="16"/>
        <v>0.4</v>
      </c>
      <c r="Q85">
        <f t="shared" si="17"/>
        <v>0</v>
      </c>
      <c r="R85">
        <f t="shared" si="18"/>
        <v>0</v>
      </c>
      <c r="S85">
        <f t="shared" si="19"/>
        <v>1</v>
      </c>
    </row>
    <row r="86" spans="1:19" x14ac:dyDescent="0.25">
      <c r="A86" s="135">
        <v>45881</v>
      </c>
      <c r="B86" s="133">
        <f t="shared" si="14"/>
        <v>0</v>
      </c>
      <c r="C86" s="140"/>
      <c r="D86" s="140"/>
      <c r="E86" s="140"/>
      <c r="F86" s="140"/>
      <c r="G86" s="140"/>
      <c r="H86" s="140"/>
      <c r="I86" s="140"/>
      <c r="J86" s="140"/>
      <c r="K86" s="141">
        <f t="shared" si="20"/>
        <v>1973250</v>
      </c>
      <c r="L86">
        <f t="shared" si="21"/>
        <v>1</v>
      </c>
      <c r="M86">
        <f t="shared" si="15"/>
        <v>1</v>
      </c>
      <c r="N86">
        <f t="shared" si="15"/>
        <v>0.7</v>
      </c>
      <c r="O86">
        <f t="shared" si="22"/>
        <v>0.7</v>
      </c>
      <c r="P86">
        <f t="shared" si="16"/>
        <v>0.4</v>
      </c>
      <c r="Q86">
        <f t="shared" si="17"/>
        <v>0</v>
      </c>
      <c r="R86">
        <f t="shared" si="18"/>
        <v>0</v>
      </c>
      <c r="S86">
        <f t="shared" si="19"/>
        <v>1</v>
      </c>
    </row>
    <row r="87" spans="1:19" x14ac:dyDescent="0.25">
      <c r="A87" s="135">
        <v>45882</v>
      </c>
      <c r="B87" s="133">
        <f t="shared" si="14"/>
        <v>0</v>
      </c>
      <c r="C87" s="140"/>
      <c r="D87" s="140"/>
      <c r="E87" s="140"/>
      <c r="F87" s="140"/>
      <c r="G87" s="140"/>
      <c r="H87" s="140"/>
      <c r="I87" s="140"/>
      <c r="J87" s="140"/>
      <c r="K87" s="141">
        <f t="shared" si="20"/>
        <v>1973250</v>
      </c>
      <c r="L87">
        <f t="shared" si="21"/>
        <v>1</v>
      </c>
      <c r="M87">
        <f t="shared" si="15"/>
        <v>1</v>
      </c>
      <c r="N87">
        <f t="shared" si="15"/>
        <v>0.7</v>
      </c>
      <c r="O87">
        <f t="shared" si="22"/>
        <v>0.7</v>
      </c>
      <c r="P87">
        <f t="shared" si="16"/>
        <v>0.4</v>
      </c>
      <c r="Q87">
        <f t="shared" si="17"/>
        <v>0</v>
      </c>
      <c r="R87">
        <f t="shared" si="18"/>
        <v>0</v>
      </c>
      <c r="S87">
        <f t="shared" si="19"/>
        <v>1</v>
      </c>
    </row>
    <row r="88" spans="1:19" x14ac:dyDescent="0.25">
      <c r="A88" s="135">
        <v>45883</v>
      </c>
      <c r="B88" s="133">
        <f t="shared" si="14"/>
        <v>0</v>
      </c>
      <c r="C88" s="140"/>
      <c r="D88" s="140"/>
      <c r="E88" s="140"/>
      <c r="F88" s="140"/>
      <c r="G88" s="140"/>
      <c r="H88" s="140"/>
      <c r="I88" s="140"/>
      <c r="J88" s="140"/>
      <c r="K88" s="141">
        <f t="shared" si="20"/>
        <v>1973250</v>
      </c>
      <c r="L88">
        <f t="shared" si="21"/>
        <v>1</v>
      </c>
      <c r="M88">
        <f t="shared" si="15"/>
        <v>1</v>
      </c>
      <c r="N88">
        <f t="shared" si="15"/>
        <v>0.7</v>
      </c>
      <c r="O88">
        <f t="shared" si="22"/>
        <v>0.7</v>
      </c>
      <c r="P88">
        <f t="shared" si="16"/>
        <v>0.4</v>
      </c>
      <c r="Q88">
        <f t="shared" si="17"/>
        <v>0</v>
      </c>
      <c r="R88">
        <f t="shared" si="18"/>
        <v>0</v>
      </c>
      <c r="S88">
        <f t="shared" si="19"/>
        <v>1</v>
      </c>
    </row>
    <row r="89" spans="1:19" x14ac:dyDescent="0.25">
      <c r="A89" s="135">
        <v>45884</v>
      </c>
      <c r="B89" s="133">
        <f t="shared" si="14"/>
        <v>0</v>
      </c>
      <c r="C89" s="140"/>
      <c r="D89" s="140"/>
      <c r="E89" s="140"/>
      <c r="F89" s="140"/>
      <c r="G89" s="140"/>
      <c r="H89" s="140"/>
      <c r="I89" s="140"/>
      <c r="J89" s="140"/>
      <c r="K89" s="141">
        <f t="shared" si="20"/>
        <v>1973250</v>
      </c>
      <c r="L89">
        <f t="shared" si="21"/>
        <v>1</v>
      </c>
      <c r="M89">
        <f t="shared" si="15"/>
        <v>1</v>
      </c>
      <c r="N89">
        <f t="shared" si="15"/>
        <v>0.7</v>
      </c>
      <c r="O89">
        <f t="shared" si="22"/>
        <v>0.7</v>
      </c>
      <c r="P89">
        <f t="shared" si="16"/>
        <v>0.4</v>
      </c>
      <c r="Q89">
        <f t="shared" si="17"/>
        <v>0</v>
      </c>
      <c r="R89">
        <f t="shared" si="18"/>
        <v>0</v>
      </c>
      <c r="S89">
        <f t="shared" si="19"/>
        <v>1</v>
      </c>
    </row>
    <row r="90" spans="1:19" x14ac:dyDescent="0.25">
      <c r="A90" s="135">
        <v>45885</v>
      </c>
      <c r="B90" s="133">
        <f t="shared" si="14"/>
        <v>0</v>
      </c>
      <c r="C90" s="140"/>
      <c r="D90" s="140"/>
      <c r="E90" s="140"/>
      <c r="F90" s="140"/>
      <c r="G90" s="140"/>
      <c r="H90" s="140"/>
      <c r="I90" s="140"/>
      <c r="J90" s="140"/>
      <c r="K90" s="141">
        <f t="shared" si="20"/>
        <v>1973250</v>
      </c>
      <c r="L90">
        <f t="shared" si="21"/>
        <v>1</v>
      </c>
      <c r="M90">
        <f t="shared" si="15"/>
        <v>1</v>
      </c>
      <c r="N90">
        <f t="shared" si="15"/>
        <v>0.7</v>
      </c>
      <c r="O90">
        <f t="shared" si="22"/>
        <v>0.7</v>
      </c>
      <c r="P90">
        <f t="shared" si="16"/>
        <v>0.4</v>
      </c>
      <c r="Q90">
        <f t="shared" si="17"/>
        <v>0</v>
      </c>
      <c r="R90">
        <f t="shared" si="18"/>
        <v>0</v>
      </c>
      <c r="S90">
        <f t="shared" si="19"/>
        <v>1</v>
      </c>
    </row>
    <row r="91" spans="1:19" x14ac:dyDescent="0.25">
      <c r="A91" s="135">
        <v>45886</v>
      </c>
      <c r="B91" s="133">
        <f t="shared" si="14"/>
        <v>0</v>
      </c>
      <c r="C91" s="140"/>
      <c r="D91" s="140"/>
      <c r="E91" s="140"/>
      <c r="F91" s="140"/>
      <c r="G91" s="140"/>
      <c r="H91" s="140"/>
      <c r="I91" s="140"/>
      <c r="J91" s="140"/>
      <c r="K91" s="141">
        <f t="shared" si="20"/>
        <v>1973250</v>
      </c>
      <c r="L91">
        <f t="shared" si="21"/>
        <v>1</v>
      </c>
      <c r="M91">
        <f t="shared" si="15"/>
        <v>1</v>
      </c>
      <c r="N91">
        <f t="shared" si="15"/>
        <v>0.7</v>
      </c>
      <c r="O91">
        <f t="shared" si="22"/>
        <v>0.7</v>
      </c>
      <c r="P91">
        <f t="shared" si="16"/>
        <v>0.4</v>
      </c>
      <c r="Q91">
        <f t="shared" si="17"/>
        <v>0</v>
      </c>
      <c r="R91">
        <f t="shared" si="18"/>
        <v>0</v>
      </c>
      <c r="S91">
        <f t="shared" si="19"/>
        <v>1</v>
      </c>
    </row>
    <row r="92" spans="1:19" x14ac:dyDescent="0.25">
      <c r="A92" s="135">
        <v>45887</v>
      </c>
      <c r="B92" s="133">
        <f t="shared" si="14"/>
        <v>0</v>
      </c>
      <c r="C92" s="140"/>
      <c r="D92" s="140"/>
      <c r="E92" s="140"/>
      <c r="F92" s="140"/>
      <c r="G92" s="140"/>
      <c r="H92" s="140"/>
      <c r="I92" s="140"/>
      <c r="J92" s="140"/>
      <c r="K92" s="141">
        <f t="shared" si="20"/>
        <v>1973250</v>
      </c>
      <c r="L92">
        <f t="shared" si="21"/>
        <v>1</v>
      </c>
      <c r="M92">
        <f t="shared" si="15"/>
        <v>1</v>
      </c>
      <c r="N92">
        <f t="shared" si="15"/>
        <v>0.7</v>
      </c>
      <c r="O92">
        <f t="shared" si="22"/>
        <v>0.7</v>
      </c>
      <c r="P92">
        <f t="shared" si="16"/>
        <v>0.4</v>
      </c>
      <c r="Q92">
        <f t="shared" si="17"/>
        <v>0</v>
      </c>
      <c r="R92">
        <f t="shared" si="18"/>
        <v>0</v>
      </c>
      <c r="S92">
        <f t="shared" si="19"/>
        <v>1</v>
      </c>
    </row>
    <row r="93" spans="1:19" x14ac:dyDescent="0.25">
      <c r="A93" s="135">
        <v>45888</v>
      </c>
      <c r="B93" s="133">
        <f t="shared" si="14"/>
        <v>0</v>
      </c>
      <c r="C93" s="140"/>
      <c r="D93" s="140"/>
      <c r="E93" s="140"/>
      <c r="F93" s="140"/>
      <c r="G93" s="140"/>
      <c r="H93" s="140"/>
      <c r="I93" s="140"/>
      <c r="J93" s="140"/>
      <c r="K93" s="141">
        <f t="shared" si="20"/>
        <v>1973250</v>
      </c>
      <c r="L93">
        <f t="shared" si="21"/>
        <v>1</v>
      </c>
      <c r="M93">
        <f t="shared" si="15"/>
        <v>1</v>
      </c>
      <c r="N93">
        <f t="shared" si="15"/>
        <v>0.7</v>
      </c>
      <c r="O93">
        <f t="shared" si="22"/>
        <v>0.7</v>
      </c>
      <c r="P93">
        <f t="shared" si="16"/>
        <v>0.4</v>
      </c>
      <c r="Q93">
        <f t="shared" si="17"/>
        <v>0</v>
      </c>
      <c r="R93">
        <f t="shared" si="18"/>
        <v>0</v>
      </c>
      <c r="S93">
        <f t="shared" si="19"/>
        <v>1</v>
      </c>
    </row>
    <row r="94" spans="1:19" x14ac:dyDescent="0.25">
      <c r="A94" s="135">
        <v>45889</v>
      </c>
      <c r="B94" s="133">
        <f t="shared" si="14"/>
        <v>0</v>
      </c>
      <c r="C94" s="140"/>
      <c r="D94" s="140"/>
      <c r="E94" s="140"/>
      <c r="F94" s="140"/>
      <c r="G94" s="140"/>
      <c r="H94" s="140"/>
      <c r="I94" s="140"/>
      <c r="J94" s="140"/>
      <c r="K94" s="141">
        <f t="shared" si="20"/>
        <v>1973250</v>
      </c>
      <c r="L94">
        <f t="shared" si="21"/>
        <v>1</v>
      </c>
      <c r="M94">
        <f t="shared" si="15"/>
        <v>1</v>
      </c>
      <c r="N94">
        <f t="shared" si="15"/>
        <v>0.7</v>
      </c>
      <c r="O94">
        <f t="shared" si="22"/>
        <v>0.7</v>
      </c>
      <c r="P94">
        <f t="shared" si="16"/>
        <v>0.4</v>
      </c>
      <c r="Q94">
        <f t="shared" si="17"/>
        <v>0</v>
      </c>
      <c r="R94">
        <f t="shared" si="18"/>
        <v>0</v>
      </c>
      <c r="S94">
        <f t="shared" si="19"/>
        <v>1</v>
      </c>
    </row>
    <row r="95" spans="1:19" x14ac:dyDescent="0.25">
      <c r="A95" s="135">
        <v>45890</v>
      </c>
      <c r="B95" s="133">
        <f t="shared" si="14"/>
        <v>0</v>
      </c>
      <c r="C95" s="140"/>
      <c r="D95" s="140"/>
      <c r="E95" s="140"/>
      <c r="F95" s="140"/>
      <c r="G95" s="140"/>
      <c r="H95" s="140"/>
      <c r="I95" s="140"/>
      <c r="J95" s="140"/>
      <c r="K95" s="141">
        <f t="shared" si="20"/>
        <v>1973250</v>
      </c>
      <c r="L95">
        <f t="shared" si="21"/>
        <v>1</v>
      </c>
      <c r="M95">
        <f t="shared" si="15"/>
        <v>1</v>
      </c>
      <c r="N95">
        <f t="shared" si="15"/>
        <v>0.7</v>
      </c>
      <c r="O95">
        <f t="shared" si="22"/>
        <v>0.7</v>
      </c>
      <c r="P95">
        <f t="shared" si="16"/>
        <v>0.4</v>
      </c>
      <c r="Q95">
        <f t="shared" si="17"/>
        <v>0</v>
      </c>
      <c r="R95">
        <f t="shared" si="18"/>
        <v>0</v>
      </c>
      <c r="S95">
        <f t="shared" si="19"/>
        <v>1</v>
      </c>
    </row>
    <row r="96" spans="1:19" x14ac:dyDescent="0.25">
      <c r="A96" s="135">
        <v>45891</v>
      </c>
      <c r="B96" s="133">
        <f t="shared" si="14"/>
        <v>0</v>
      </c>
      <c r="C96" s="140"/>
      <c r="D96" s="140"/>
      <c r="E96" s="140"/>
      <c r="F96" s="140"/>
      <c r="G96" s="140"/>
      <c r="H96" s="140"/>
      <c r="I96" s="140"/>
      <c r="J96" s="140"/>
      <c r="K96" s="141">
        <f t="shared" si="20"/>
        <v>1973250</v>
      </c>
      <c r="L96">
        <f t="shared" si="21"/>
        <v>1</v>
      </c>
      <c r="M96">
        <f t="shared" si="15"/>
        <v>1</v>
      </c>
      <c r="N96">
        <f t="shared" si="15"/>
        <v>0.7</v>
      </c>
      <c r="O96">
        <f t="shared" si="22"/>
        <v>0.7</v>
      </c>
      <c r="P96">
        <f t="shared" si="16"/>
        <v>0.4</v>
      </c>
      <c r="Q96">
        <f t="shared" si="17"/>
        <v>0</v>
      </c>
      <c r="R96">
        <f t="shared" si="18"/>
        <v>0</v>
      </c>
      <c r="S96">
        <f t="shared" si="19"/>
        <v>1</v>
      </c>
    </row>
    <row r="97" spans="1:19" x14ac:dyDescent="0.25">
      <c r="A97" s="135">
        <v>45892</v>
      </c>
      <c r="B97" s="133">
        <f t="shared" si="14"/>
        <v>0</v>
      </c>
      <c r="C97" s="140"/>
      <c r="D97" s="140"/>
      <c r="E97" s="140"/>
      <c r="F97" s="140"/>
      <c r="G97" s="140"/>
      <c r="H97" s="140"/>
      <c r="I97" s="140"/>
      <c r="J97" s="140"/>
      <c r="K97" s="141">
        <f t="shared" si="20"/>
        <v>1973250</v>
      </c>
      <c r="L97">
        <f t="shared" si="21"/>
        <v>1</v>
      </c>
      <c r="M97">
        <f t="shared" si="15"/>
        <v>1</v>
      </c>
      <c r="N97">
        <f t="shared" si="15"/>
        <v>0.7</v>
      </c>
      <c r="O97">
        <f t="shared" si="22"/>
        <v>0.7</v>
      </c>
      <c r="P97">
        <f t="shared" si="16"/>
        <v>0.4</v>
      </c>
      <c r="Q97">
        <f t="shared" si="17"/>
        <v>0</v>
      </c>
      <c r="R97">
        <f t="shared" si="18"/>
        <v>0</v>
      </c>
      <c r="S97">
        <f t="shared" si="19"/>
        <v>1</v>
      </c>
    </row>
    <row r="98" spans="1:19" x14ac:dyDescent="0.25">
      <c r="A98" s="135">
        <v>45893</v>
      </c>
      <c r="B98" s="133">
        <f t="shared" si="14"/>
        <v>0</v>
      </c>
      <c r="C98" s="140"/>
      <c r="D98" s="140"/>
      <c r="E98" s="140"/>
      <c r="F98" s="140"/>
      <c r="G98" s="140"/>
      <c r="H98" s="140"/>
      <c r="I98" s="140"/>
      <c r="J98" s="140"/>
      <c r="K98" s="141">
        <f t="shared" si="20"/>
        <v>1973250</v>
      </c>
      <c r="L98">
        <f t="shared" si="21"/>
        <v>1</v>
      </c>
      <c r="M98">
        <f t="shared" si="15"/>
        <v>1</v>
      </c>
      <c r="N98">
        <f t="shared" si="15"/>
        <v>0.7</v>
      </c>
      <c r="O98">
        <f t="shared" si="22"/>
        <v>0.7</v>
      </c>
      <c r="P98">
        <f t="shared" si="16"/>
        <v>0.4</v>
      </c>
      <c r="Q98">
        <f t="shared" si="17"/>
        <v>0</v>
      </c>
      <c r="R98">
        <f t="shared" si="18"/>
        <v>0</v>
      </c>
      <c r="S98">
        <f t="shared" si="19"/>
        <v>1</v>
      </c>
    </row>
    <row r="99" spans="1:19" x14ac:dyDescent="0.25">
      <c r="A99" s="135">
        <v>45894</v>
      </c>
      <c r="B99" s="133">
        <f t="shared" si="14"/>
        <v>0</v>
      </c>
      <c r="C99" s="140"/>
      <c r="D99" s="140"/>
      <c r="E99" s="140"/>
      <c r="F99" s="140"/>
      <c r="G99" s="140"/>
      <c r="H99" s="140"/>
      <c r="I99" s="140"/>
      <c r="J99" s="140"/>
      <c r="K99" s="141">
        <f t="shared" si="20"/>
        <v>1973250</v>
      </c>
      <c r="L99">
        <f t="shared" si="21"/>
        <v>1</v>
      </c>
      <c r="M99">
        <f t="shared" si="15"/>
        <v>1</v>
      </c>
      <c r="N99">
        <f t="shared" si="15"/>
        <v>0.7</v>
      </c>
      <c r="O99">
        <f t="shared" si="22"/>
        <v>0.7</v>
      </c>
      <c r="P99">
        <f t="shared" si="16"/>
        <v>0.4</v>
      </c>
      <c r="Q99">
        <f t="shared" si="17"/>
        <v>0</v>
      </c>
      <c r="R99">
        <f t="shared" si="18"/>
        <v>0</v>
      </c>
      <c r="S99">
        <f t="shared" si="19"/>
        <v>1</v>
      </c>
    </row>
    <row r="100" spans="1:19" x14ac:dyDescent="0.25">
      <c r="A100" s="135">
        <v>45895</v>
      </c>
      <c r="B100" s="133">
        <f t="shared" si="14"/>
        <v>0</v>
      </c>
      <c r="C100" s="140"/>
      <c r="D100" s="140"/>
      <c r="E100" s="140"/>
      <c r="F100" s="140"/>
      <c r="G100" s="140"/>
      <c r="H100" s="140"/>
      <c r="I100" s="140"/>
      <c r="J100" s="140"/>
      <c r="K100" s="141">
        <f t="shared" si="20"/>
        <v>1973250</v>
      </c>
      <c r="L100">
        <f t="shared" si="21"/>
        <v>1</v>
      </c>
      <c r="M100">
        <f t="shared" si="15"/>
        <v>1</v>
      </c>
      <c r="N100">
        <f t="shared" si="15"/>
        <v>0.7</v>
      </c>
      <c r="O100">
        <f t="shared" si="22"/>
        <v>0.7</v>
      </c>
      <c r="P100">
        <f t="shared" si="16"/>
        <v>0.4</v>
      </c>
      <c r="Q100">
        <f t="shared" si="17"/>
        <v>0</v>
      </c>
      <c r="R100">
        <f t="shared" si="18"/>
        <v>0</v>
      </c>
      <c r="S100">
        <f t="shared" si="19"/>
        <v>1</v>
      </c>
    </row>
    <row r="101" spans="1:19" x14ac:dyDescent="0.25">
      <c r="A101" s="135">
        <v>45896</v>
      </c>
      <c r="B101" s="133">
        <f t="shared" si="14"/>
        <v>0</v>
      </c>
      <c r="C101" s="140"/>
      <c r="D101" s="140"/>
      <c r="E101" s="140"/>
      <c r="F101" s="140"/>
      <c r="G101" s="140"/>
      <c r="H101" s="140"/>
      <c r="I101" s="140"/>
      <c r="J101" s="140"/>
      <c r="K101" s="141">
        <f t="shared" si="20"/>
        <v>1973250</v>
      </c>
      <c r="L101">
        <f t="shared" si="21"/>
        <v>1</v>
      </c>
      <c r="M101">
        <f t="shared" si="15"/>
        <v>1</v>
      </c>
      <c r="N101">
        <f t="shared" si="15"/>
        <v>0.7</v>
      </c>
      <c r="O101">
        <f t="shared" si="22"/>
        <v>0.7</v>
      </c>
      <c r="P101">
        <f t="shared" si="16"/>
        <v>0.4</v>
      </c>
      <c r="Q101">
        <f t="shared" si="17"/>
        <v>0</v>
      </c>
      <c r="R101">
        <f t="shared" si="18"/>
        <v>0</v>
      </c>
      <c r="S101">
        <f t="shared" si="19"/>
        <v>1</v>
      </c>
    </row>
    <row r="102" spans="1:19" x14ac:dyDescent="0.25">
      <c r="A102" s="135">
        <v>45897</v>
      </c>
      <c r="B102" s="133">
        <f t="shared" si="14"/>
        <v>0</v>
      </c>
      <c r="C102" s="140"/>
      <c r="D102" s="140"/>
      <c r="E102" s="140"/>
      <c r="F102" s="140"/>
      <c r="G102" s="140"/>
      <c r="H102" s="140"/>
      <c r="I102" s="140"/>
      <c r="J102" s="140"/>
      <c r="K102" s="141">
        <f t="shared" si="20"/>
        <v>1973250</v>
      </c>
      <c r="L102">
        <f t="shared" si="21"/>
        <v>1</v>
      </c>
      <c r="M102">
        <f t="shared" si="15"/>
        <v>1</v>
      </c>
      <c r="N102">
        <f t="shared" si="15"/>
        <v>0.7</v>
      </c>
      <c r="O102">
        <f t="shared" si="22"/>
        <v>0.7</v>
      </c>
      <c r="P102">
        <f t="shared" si="16"/>
        <v>0.4</v>
      </c>
      <c r="Q102">
        <f t="shared" si="17"/>
        <v>0</v>
      </c>
      <c r="R102">
        <f t="shared" si="18"/>
        <v>0</v>
      </c>
      <c r="S102">
        <f t="shared" si="19"/>
        <v>1</v>
      </c>
    </row>
    <row r="103" spans="1:19" x14ac:dyDescent="0.25">
      <c r="A103" s="135">
        <v>45898</v>
      </c>
      <c r="B103" s="133">
        <f t="shared" si="14"/>
        <v>0</v>
      </c>
      <c r="C103" s="140"/>
      <c r="D103" s="140"/>
      <c r="E103" s="140"/>
      <c r="F103" s="140"/>
      <c r="G103" s="140"/>
      <c r="H103" s="140"/>
      <c r="I103" s="140"/>
      <c r="J103" s="140"/>
      <c r="K103" s="141">
        <f t="shared" si="20"/>
        <v>1973250</v>
      </c>
      <c r="L103">
        <f t="shared" si="21"/>
        <v>1</v>
      </c>
      <c r="M103">
        <f t="shared" si="15"/>
        <v>1</v>
      </c>
      <c r="N103">
        <f t="shared" si="15"/>
        <v>0.7</v>
      </c>
      <c r="O103">
        <f t="shared" si="22"/>
        <v>0.7</v>
      </c>
      <c r="P103">
        <f t="shared" si="16"/>
        <v>0.4</v>
      </c>
      <c r="Q103">
        <f t="shared" si="17"/>
        <v>0</v>
      </c>
      <c r="R103">
        <f t="shared" si="18"/>
        <v>0</v>
      </c>
      <c r="S103">
        <f t="shared" si="19"/>
        <v>1</v>
      </c>
    </row>
    <row r="104" spans="1:19" x14ac:dyDescent="0.25">
      <c r="A104" s="135">
        <v>45899</v>
      </c>
      <c r="B104" s="133">
        <f t="shared" si="14"/>
        <v>0</v>
      </c>
      <c r="C104" s="140"/>
      <c r="D104" s="140"/>
      <c r="E104" s="140"/>
      <c r="F104" s="140"/>
      <c r="G104" s="140"/>
      <c r="H104" s="140"/>
      <c r="I104" s="140"/>
      <c r="J104" s="140"/>
      <c r="K104" s="141">
        <f t="shared" si="20"/>
        <v>1973250</v>
      </c>
      <c r="L104">
        <f t="shared" si="21"/>
        <v>1</v>
      </c>
      <c r="M104">
        <f t="shared" si="15"/>
        <v>1</v>
      </c>
      <c r="N104">
        <f t="shared" si="15"/>
        <v>0.7</v>
      </c>
      <c r="O104">
        <f t="shared" si="22"/>
        <v>0.7</v>
      </c>
      <c r="P104">
        <f t="shared" si="16"/>
        <v>0.4</v>
      </c>
      <c r="Q104">
        <f t="shared" si="17"/>
        <v>0</v>
      </c>
      <c r="R104">
        <f t="shared" si="18"/>
        <v>0</v>
      </c>
      <c r="S104">
        <f t="shared" si="19"/>
        <v>1</v>
      </c>
    </row>
    <row r="105" spans="1:19" x14ac:dyDescent="0.25">
      <c r="A105" s="135">
        <v>45900</v>
      </c>
      <c r="B105" s="133">
        <f t="shared" si="14"/>
        <v>0</v>
      </c>
      <c r="C105" s="140"/>
      <c r="D105" s="140"/>
      <c r="E105" s="140"/>
      <c r="F105" s="140"/>
      <c r="G105" s="140"/>
      <c r="H105" s="140"/>
      <c r="I105" s="140"/>
      <c r="J105" s="140"/>
      <c r="K105" s="141">
        <f t="shared" si="20"/>
        <v>1973250</v>
      </c>
      <c r="L105">
        <f t="shared" si="21"/>
        <v>1</v>
      </c>
      <c r="M105">
        <f t="shared" si="15"/>
        <v>1</v>
      </c>
      <c r="N105">
        <f t="shared" si="15"/>
        <v>0.7</v>
      </c>
      <c r="O105">
        <f t="shared" si="22"/>
        <v>0.7</v>
      </c>
      <c r="P105">
        <f t="shared" si="16"/>
        <v>0.4</v>
      </c>
      <c r="Q105">
        <f t="shared" si="17"/>
        <v>0</v>
      </c>
      <c r="R105">
        <f t="shared" si="18"/>
        <v>0</v>
      </c>
      <c r="S105">
        <f t="shared" si="19"/>
        <v>1</v>
      </c>
    </row>
    <row r="106" spans="1:19" x14ac:dyDescent="0.25">
      <c r="A106" s="135">
        <v>45901</v>
      </c>
      <c r="B106" s="133">
        <f t="shared" si="14"/>
        <v>0</v>
      </c>
      <c r="C106" s="140"/>
      <c r="D106" s="140"/>
      <c r="E106" s="140"/>
      <c r="F106" s="140"/>
      <c r="G106" s="140"/>
      <c r="H106" s="140"/>
      <c r="I106" s="140"/>
      <c r="J106" s="140"/>
      <c r="K106" s="141">
        <f t="shared" si="20"/>
        <v>1973250</v>
      </c>
      <c r="L106">
        <f t="shared" si="21"/>
        <v>1</v>
      </c>
      <c r="M106">
        <f t="shared" si="15"/>
        <v>1</v>
      </c>
      <c r="N106">
        <f t="shared" si="15"/>
        <v>0.7</v>
      </c>
      <c r="O106">
        <f t="shared" si="22"/>
        <v>0.7</v>
      </c>
      <c r="P106">
        <f t="shared" si="16"/>
        <v>0.4</v>
      </c>
      <c r="Q106">
        <f t="shared" si="17"/>
        <v>0</v>
      </c>
      <c r="R106">
        <f t="shared" si="18"/>
        <v>0</v>
      </c>
      <c r="S106">
        <f t="shared" si="19"/>
        <v>1</v>
      </c>
    </row>
    <row r="107" spans="1:19" x14ac:dyDescent="0.25">
      <c r="A107" s="135">
        <v>45902</v>
      </c>
      <c r="B107" s="133">
        <f t="shared" si="14"/>
        <v>0</v>
      </c>
      <c r="C107" s="140"/>
      <c r="D107" s="140"/>
      <c r="E107" s="140"/>
      <c r="F107" s="140"/>
      <c r="G107" s="140"/>
      <c r="H107" s="140"/>
      <c r="I107" s="140"/>
      <c r="J107" s="140"/>
      <c r="K107" s="141">
        <f t="shared" si="20"/>
        <v>1973250</v>
      </c>
      <c r="L107">
        <f t="shared" si="21"/>
        <v>1</v>
      </c>
      <c r="M107">
        <f t="shared" si="15"/>
        <v>1</v>
      </c>
      <c r="N107">
        <f t="shared" si="15"/>
        <v>0.7</v>
      </c>
      <c r="O107">
        <f t="shared" si="22"/>
        <v>0.7</v>
      </c>
      <c r="P107">
        <f t="shared" si="16"/>
        <v>0.4</v>
      </c>
      <c r="Q107">
        <f t="shared" si="17"/>
        <v>0</v>
      </c>
      <c r="R107">
        <f t="shared" si="18"/>
        <v>0</v>
      </c>
      <c r="S107">
        <f t="shared" si="19"/>
        <v>1</v>
      </c>
    </row>
    <row r="108" spans="1:19" x14ac:dyDescent="0.25">
      <c r="A108" s="135">
        <v>45903</v>
      </c>
      <c r="B108" s="133">
        <f t="shared" si="14"/>
        <v>0</v>
      </c>
      <c r="C108" s="140"/>
      <c r="D108" s="140"/>
      <c r="E108" s="140"/>
      <c r="F108" s="140"/>
      <c r="G108" s="140"/>
      <c r="H108" s="140"/>
      <c r="I108" s="140"/>
      <c r="J108" s="140"/>
      <c r="K108" s="141">
        <f t="shared" si="20"/>
        <v>1973250</v>
      </c>
      <c r="L108">
        <f t="shared" si="21"/>
        <v>1</v>
      </c>
      <c r="M108">
        <f t="shared" si="15"/>
        <v>1</v>
      </c>
      <c r="N108">
        <f t="shared" si="15"/>
        <v>0.7</v>
      </c>
      <c r="O108">
        <f t="shared" si="22"/>
        <v>0.7</v>
      </c>
      <c r="P108">
        <f t="shared" si="16"/>
        <v>0.4</v>
      </c>
      <c r="Q108">
        <f t="shared" si="17"/>
        <v>0</v>
      </c>
      <c r="R108">
        <f t="shared" si="18"/>
        <v>0</v>
      </c>
      <c r="S108">
        <f t="shared" si="19"/>
        <v>1</v>
      </c>
    </row>
    <row r="109" spans="1:19" x14ac:dyDescent="0.25">
      <c r="A109" s="135">
        <v>45904</v>
      </c>
      <c r="B109" s="133">
        <f t="shared" si="14"/>
        <v>0</v>
      </c>
      <c r="C109" s="140"/>
      <c r="D109" s="140"/>
      <c r="E109" s="140"/>
      <c r="F109" s="140"/>
      <c r="G109" s="140"/>
      <c r="H109" s="140"/>
      <c r="I109" s="140"/>
      <c r="J109" s="140"/>
      <c r="K109" s="141">
        <f t="shared" si="20"/>
        <v>1973250</v>
      </c>
      <c r="L109">
        <f t="shared" si="21"/>
        <v>1</v>
      </c>
      <c r="M109">
        <f t="shared" si="15"/>
        <v>1</v>
      </c>
      <c r="N109">
        <f t="shared" si="15"/>
        <v>0.7</v>
      </c>
      <c r="O109">
        <f t="shared" si="22"/>
        <v>0.7</v>
      </c>
      <c r="P109">
        <f t="shared" si="16"/>
        <v>0.4</v>
      </c>
      <c r="Q109">
        <f t="shared" si="17"/>
        <v>0</v>
      </c>
      <c r="R109">
        <f t="shared" si="18"/>
        <v>0</v>
      </c>
      <c r="S109">
        <f t="shared" si="19"/>
        <v>1</v>
      </c>
    </row>
    <row r="110" spans="1:19" x14ac:dyDescent="0.25">
      <c r="A110" s="135">
        <v>45905</v>
      </c>
      <c r="B110" s="133">
        <f t="shared" si="14"/>
        <v>0</v>
      </c>
      <c r="C110" s="140"/>
      <c r="D110" s="140"/>
      <c r="E110" s="140"/>
      <c r="F110" s="140"/>
      <c r="G110" s="140"/>
      <c r="H110" s="140"/>
      <c r="I110" s="140"/>
      <c r="J110" s="140"/>
      <c r="K110" s="141">
        <f t="shared" si="20"/>
        <v>1973250</v>
      </c>
      <c r="L110">
        <f t="shared" si="21"/>
        <v>1</v>
      </c>
      <c r="M110">
        <f t="shared" si="15"/>
        <v>1</v>
      </c>
      <c r="N110">
        <f t="shared" si="15"/>
        <v>0.7</v>
      </c>
      <c r="O110">
        <f t="shared" si="22"/>
        <v>0.7</v>
      </c>
      <c r="P110">
        <f t="shared" si="16"/>
        <v>0.4</v>
      </c>
      <c r="Q110">
        <f t="shared" si="17"/>
        <v>0</v>
      </c>
      <c r="R110">
        <f t="shared" si="18"/>
        <v>0</v>
      </c>
      <c r="S110">
        <f t="shared" si="19"/>
        <v>1</v>
      </c>
    </row>
    <row r="111" spans="1:19" x14ac:dyDescent="0.25">
      <c r="A111" s="135">
        <v>45906</v>
      </c>
      <c r="B111" s="133">
        <f t="shared" si="14"/>
        <v>0</v>
      </c>
      <c r="C111" s="140"/>
      <c r="D111" s="140"/>
      <c r="E111" s="140"/>
      <c r="F111" s="140"/>
      <c r="G111" s="140"/>
      <c r="H111" s="140"/>
      <c r="I111" s="140"/>
      <c r="J111" s="140"/>
      <c r="K111" s="141">
        <f t="shared" si="20"/>
        <v>1973250</v>
      </c>
      <c r="L111">
        <f t="shared" si="21"/>
        <v>1</v>
      </c>
      <c r="M111">
        <f t="shared" si="15"/>
        <v>1</v>
      </c>
      <c r="N111">
        <f t="shared" si="15"/>
        <v>0.7</v>
      </c>
      <c r="O111">
        <f t="shared" si="22"/>
        <v>0.7</v>
      </c>
      <c r="P111">
        <f t="shared" si="16"/>
        <v>0.4</v>
      </c>
      <c r="Q111">
        <f t="shared" si="17"/>
        <v>0</v>
      </c>
      <c r="R111">
        <f t="shared" si="18"/>
        <v>0</v>
      </c>
      <c r="S111">
        <f t="shared" si="19"/>
        <v>1</v>
      </c>
    </row>
    <row r="112" spans="1:19" x14ac:dyDescent="0.25">
      <c r="A112" s="135">
        <v>45907</v>
      </c>
      <c r="B112" s="133">
        <f t="shared" si="14"/>
        <v>0</v>
      </c>
      <c r="C112" s="140"/>
      <c r="D112" s="140"/>
      <c r="E112" s="140"/>
      <c r="F112" s="140"/>
      <c r="G112" s="140"/>
      <c r="H112" s="140"/>
      <c r="I112" s="140"/>
      <c r="J112" s="140"/>
      <c r="K112" s="141">
        <f t="shared" si="20"/>
        <v>1973250</v>
      </c>
      <c r="L112">
        <f t="shared" si="21"/>
        <v>1</v>
      </c>
      <c r="M112">
        <f t="shared" si="15"/>
        <v>1</v>
      </c>
      <c r="N112">
        <f t="shared" si="15"/>
        <v>0.7</v>
      </c>
      <c r="O112">
        <f t="shared" si="22"/>
        <v>0.7</v>
      </c>
      <c r="P112">
        <f t="shared" si="16"/>
        <v>0.4</v>
      </c>
      <c r="Q112">
        <f t="shared" si="17"/>
        <v>0</v>
      </c>
      <c r="R112">
        <f t="shared" si="18"/>
        <v>0</v>
      </c>
      <c r="S112">
        <f t="shared" si="19"/>
        <v>1</v>
      </c>
    </row>
    <row r="113" spans="1:19" x14ac:dyDescent="0.25">
      <c r="A113" s="135">
        <v>45908</v>
      </c>
      <c r="B113" s="133">
        <f t="shared" si="14"/>
        <v>0</v>
      </c>
      <c r="C113" s="140"/>
      <c r="D113" s="140"/>
      <c r="E113" s="140"/>
      <c r="F113" s="140"/>
      <c r="G113" s="140"/>
      <c r="H113" s="140"/>
      <c r="I113" s="140"/>
      <c r="J113" s="140"/>
      <c r="K113" s="141">
        <f t="shared" si="20"/>
        <v>1973250</v>
      </c>
      <c r="L113">
        <f t="shared" si="21"/>
        <v>1</v>
      </c>
      <c r="M113">
        <f t="shared" si="15"/>
        <v>1</v>
      </c>
      <c r="N113">
        <f t="shared" si="15"/>
        <v>0.7</v>
      </c>
      <c r="O113">
        <f t="shared" si="22"/>
        <v>0.7</v>
      </c>
      <c r="P113">
        <f t="shared" si="16"/>
        <v>0.4</v>
      </c>
      <c r="Q113">
        <f t="shared" si="17"/>
        <v>0</v>
      </c>
      <c r="R113">
        <f t="shared" si="18"/>
        <v>0</v>
      </c>
      <c r="S113">
        <f t="shared" si="19"/>
        <v>1</v>
      </c>
    </row>
    <row r="114" spans="1:19" x14ac:dyDescent="0.25">
      <c r="A114" s="135">
        <v>45909</v>
      </c>
      <c r="B114" s="133">
        <f t="shared" si="14"/>
        <v>0</v>
      </c>
      <c r="C114" s="140"/>
      <c r="D114" s="140"/>
      <c r="E114" s="140"/>
      <c r="F114" s="140"/>
      <c r="G114" s="140"/>
      <c r="H114" s="140"/>
      <c r="I114" s="140"/>
      <c r="J114" s="140"/>
      <c r="K114" s="141">
        <f t="shared" si="20"/>
        <v>1973250</v>
      </c>
      <c r="L114">
        <f t="shared" si="21"/>
        <v>1</v>
      </c>
      <c r="M114">
        <f t="shared" si="15"/>
        <v>1</v>
      </c>
      <c r="N114">
        <f t="shared" si="15"/>
        <v>0.7</v>
      </c>
      <c r="O114">
        <f t="shared" si="22"/>
        <v>0.7</v>
      </c>
      <c r="P114">
        <f t="shared" si="16"/>
        <v>0.4</v>
      </c>
      <c r="Q114">
        <f t="shared" si="17"/>
        <v>0</v>
      </c>
      <c r="R114">
        <f t="shared" si="18"/>
        <v>0</v>
      </c>
      <c r="S114">
        <f t="shared" si="19"/>
        <v>1</v>
      </c>
    </row>
    <row r="115" spans="1:19" x14ac:dyDescent="0.25">
      <c r="A115" s="135">
        <v>45910</v>
      </c>
      <c r="B115" s="133">
        <f t="shared" si="14"/>
        <v>0</v>
      </c>
      <c r="C115" s="140"/>
      <c r="D115" s="140"/>
      <c r="E115" s="140"/>
      <c r="F115" s="140"/>
      <c r="G115" s="140"/>
      <c r="H115" s="140"/>
      <c r="I115" s="140"/>
      <c r="J115" s="140"/>
      <c r="K115" s="141">
        <f t="shared" si="20"/>
        <v>1973250</v>
      </c>
      <c r="L115">
        <f t="shared" si="21"/>
        <v>1</v>
      </c>
      <c r="M115">
        <f t="shared" si="15"/>
        <v>1</v>
      </c>
      <c r="N115">
        <f t="shared" si="15"/>
        <v>0.7</v>
      </c>
      <c r="O115">
        <f t="shared" si="22"/>
        <v>0.7</v>
      </c>
      <c r="P115">
        <f t="shared" si="16"/>
        <v>0.4</v>
      </c>
      <c r="Q115">
        <f t="shared" si="17"/>
        <v>0</v>
      </c>
      <c r="R115">
        <f t="shared" si="18"/>
        <v>0</v>
      </c>
      <c r="S115">
        <f t="shared" si="19"/>
        <v>1</v>
      </c>
    </row>
    <row r="116" spans="1:19" x14ac:dyDescent="0.25">
      <c r="A116" s="135">
        <v>45911</v>
      </c>
      <c r="B116" s="133">
        <f t="shared" si="14"/>
        <v>0</v>
      </c>
      <c r="C116" s="140"/>
      <c r="D116" s="140"/>
      <c r="E116" s="140"/>
      <c r="F116" s="140"/>
      <c r="G116" s="140"/>
      <c r="H116" s="140"/>
      <c r="I116" s="140"/>
      <c r="J116" s="140"/>
      <c r="K116" s="141">
        <f t="shared" si="20"/>
        <v>1973250</v>
      </c>
      <c r="L116">
        <f t="shared" si="21"/>
        <v>1</v>
      </c>
      <c r="M116">
        <f t="shared" si="15"/>
        <v>1</v>
      </c>
      <c r="N116">
        <f t="shared" si="15"/>
        <v>0.7</v>
      </c>
      <c r="O116">
        <f t="shared" si="22"/>
        <v>0.7</v>
      </c>
      <c r="P116">
        <f t="shared" si="16"/>
        <v>0.4</v>
      </c>
      <c r="Q116">
        <f t="shared" si="17"/>
        <v>0</v>
      </c>
      <c r="R116">
        <f t="shared" si="18"/>
        <v>0</v>
      </c>
      <c r="S116">
        <f t="shared" si="19"/>
        <v>1</v>
      </c>
    </row>
    <row r="117" spans="1:19" x14ac:dyDescent="0.25">
      <c r="A117" s="135">
        <v>45912</v>
      </c>
      <c r="B117" s="133">
        <f t="shared" si="14"/>
        <v>0</v>
      </c>
      <c r="C117" s="140"/>
      <c r="D117" s="140"/>
      <c r="E117" s="140"/>
      <c r="F117" s="140"/>
      <c r="G117" s="140"/>
      <c r="H117" s="140"/>
      <c r="I117" s="140"/>
      <c r="J117" s="140"/>
      <c r="K117" s="141">
        <f t="shared" si="20"/>
        <v>1973250</v>
      </c>
      <c r="L117">
        <f t="shared" si="21"/>
        <v>1</v>
      </c>
      <c r="M117">
        <f t="shared" si="15"/>
        <v>1</v>
      </c>
      <c r="N117">
        <f t="shared" si="15"/>
        <v>0.7</v>
      </c>
      <c r="O117">
        <f t="shared" si="22"/>
        <v>0.7</v>
      </c>
      <c r="P117">
        <f t="shared" si="16"/>
        <v>0.4</v>
      </c>
      <c r="Q117">
        <f t="shared" si="17"/>
        <v>0</v>
      </c>
      <c r="R117">
        <f t="shared" si="18"/>
        <v>0</v>
      </c>
      <c r="S117">
        <f t="shared" si="19"/>
        <v>1</v>
      </c>
    </row>
    <row r="118" spans="1:19" x14ac:dyDescent="0.25">
      <c r="A118" s="135">
        <v>45913</v>
      </c>
      <c r="B118" s="133">
        <f t="shared" si="14"/>
        <v>0</v>
      </c>
      <c r="C118" s="140"/>
      <c r="D118" s="140"/>
      <c r="E118" s="140"/>
      <c r="F118" s="140"/>
      <c r="G118" s="140"/>
      <c r="H118" s="140"/>
      <c r="I118" s="140"/>
      <c r="J118" s="140"/>
      <c r="K118" s="141">
        <f t="shared" si="20"/>
        <v>1973250</v>
      </c>
      <c r="L118">
        <f t="shared" si="21"/>
        <v>1</v>
      </c>
      <c r="M118">
        <f t="shared" si="15"/>
        <v>1</v>
      </c>
      <c r="N118">
        <f t="shared" si="15"/>
        <v>0.7</v>
      </c>
      <c r="O118">
        <f t="shared" si="22"/>
        <v>0.7</v>
      </c>
      <c r="P118">
        <f t="shared" si="16"/>
        <v>0.4</v>
      </c>
      <c r="Q118">
        <f t="shared" si="17"/>
        <v>0</v>
      </c>
      <c r="R118">
        <f t="shared" si="18"/>
        <v>0</v>
      </c>
      <c r="S118">
        <f t="shared" si="19"/>
        <v>1</v>
      </c>
    </row>
    <row r="119" spans="1:19" x14ac:dyDescent="0.25">
      <c r="A119" s="135">
        <v>45914</v>
      </c>
      <c r="B119" s="133">
        <f t="shared" si="14"/>
        <v>0</v>
      </c>
      <c r="C119" s="140"/>
      <c r="D119" s="140"/>
      <c r="E119" s="140"/>
      <c r="F119" s="140"/>
      <c r="G119" s="140"/>
      <c r="H119" s="140"/>
      <c r="I119" s="140"/>
      <c r="J119" s="140"/>
      <c r="K119" s="141">
        <f t="shared" si="20"/>
        <v>1973250</v>
      </c>
      <c r="L119">
        <f t="shared" si="21"/>
        <v>1</v>
      </c>
      <c r="M119">
        <f t="shared" si="15"/>
        <v>1</v>
      </c>
      <c r="N119">
        <f t="shared" si="15"/>
        <v>0.7</v>
      </c>
      <c r="O119">
        <f t="shared" si="22"/>
        <v>0.7</v>
      </c>
      <c r="P119">
        <f t="shared" si="16"/>
        <v>0.4</v>
      </c>
      <c r="Q119">
        <f t="shared" si="17"/>
        <v>0</v>
      </c>
      <c r="R119">
        <f t="shared" si="18"/>
        <v>0</v>
      </c>
      <c r="S119">
        <f t="shared" si="19"/>
        <v>1</v>
      </c>
    </row>
    <row r="120" spans="1:19" x14ac:dyDescent="0.25">
      <c r="A120" s="135">
        <v>45915</v>
      </c>
      <c r="B120" s="133">
        <f t="shared" si="14"/>
        <v>0</v>
      </c>
      <c r="C120" s="140"/>
      <c r="D120" s="140"/>
      <c r="E120" s="140"/>
      <c r="F120" s="140"/>
      <c r="G120" s="140"/>
      <c r="H120" s="140"/>
      <c r="I120" s="140"/>
      <c r="J120" s="140"/>
      <c r="K120" s="141">
        <f t="shared" si="20"/>
        <v>1973250</v>
      </c>
      <c r="L120">
        <f t="shared" si="21"/>
        <v>1</v>
      </c>
      <c r="M120">
        <f t="shared" si="15"/>
        <v>1</v>
      </c>
      <c r="N120">
        <f t="shared" si="15"/>
        <v>0.7</v>
      </c>
      <c r="O120">
        <f t="shared" si="22"/>
        <v>0.7</v>
      </c>
      <c r="P120">
        <f t="shared" si="16"/>
        <v>0.4</v>
      </c>
      <c r="Q120">
        <f t="shared" si="17"/>
        <v>0</v>
      </c>
      <c r="R120">
        <f t="shared" si="18"/>
        <v>0</v>
      </c>
      <c r="S120">
        <f t="shared" si="19"/>
        <v>1</v>
      </c>
    </row>
    <row r="121" spans="1:19" x14ac:dyDescent="0.25">
      <c r="A121" s="135">
        <v>45916</v>
      </c>
      <c r="B121" s="133">
        <f t="shared" si="14"/>
        <v>0</v>
      </c>
      <c r="C121" s="140"/>
      <c r="D121" s="140"/>
      <c r="E121" s="140"/>
      <c r="F121" s="140"/>
      <c r="G121" s="140"/>
      <c r="H121" s="140"/>
      <c r="I121" s="140"/>
      <c r="J121" s="140"/>
      <c r="K121" s="141">
        <f t="shared" si="20"/>
        <v>1973250</v>
      </c>
      <c r="L121">
        <f t="shared" si="21"/>
        <v>1</v>
      </c>
      <c r="M121">
        <f t="shared" si="15"/>
        <v>1</v>
      </c>
      <c r="N121">
        <f t="shared" si="15"/>
        <v>0.7</v>
      </c>
      <c r="O121">
        <f t="shared" si="22"/>
        <v>0.7</v>
      </c>
      <c r="P121">
        <f t="shared" si="16"/>
        <v>0.4</v>
      </c>
      <c r="Q121">
        <f t="shared" si="17"/>
        <v>0</v>
      </c>
      <c r="R121">
        <f t="shared" si="18"/>
        <v>0</v>
      </c>
      <c r="S121">
        <f t="shared" si="19"/>
        <v>1</v>
      </c>
    </row>
    <row r="122" spans="1:19" x14ac:dyDescent="0.25">
      <c r="A122" s="135">
        <v>45917</v>
      </c>
      <c r="B122" s="133">
        <f t="shared" si="14"/>
        <v>0</v>
      </c>
      <c r="C122" s="140"/>
      <c r="D122" s="140"/>
      <c r="E122" s="140"/>
      <c r="F122" s="140"/>
      <c r="G122" s="140"/>
      <c r="H122" s="140"/>
      <c r="I122" s="140"/>
      <c r="J122" s="140"/>
      <c r="K122" s="141">
        <f t="shared" si="20"/>
        <v>1973250</v>
      </c>
      <c r="L122">
        <f t="shared" si="21"/>
        <v>1</v>
      </c>
      <c r="M122">
        <f t="shared" si="15"/>
        <v>1</v>
      </c>
      <c r="N122">
        <f t="shared" si="15"/>
        <v>0.7</v>
      </c>
      <c r="O122">
        <f t="shared" si="22"/>
        <v>0.7</v>
      </c>
      <c r="P122">
        <f t="shared" si="16"/>
        <v>0.4</v>
      </c>
      <c r="Q122">
        <f t="shared" si="17"/>
        <v>0</v>
      </c>
      <c r="R122">
        <f t="shared" si="18"/>
        <v>0</v>
      </c>
      <c r="S122">
        <f t="shared" si="19"/>
        <v>1</v>
      </c>
    </row>
    <row r="123" spans="1:19" x14ac:dyDescent="0.25">
      <c r="A123" s="135">
        <v>45918</v>
      </c>
      <c r="B123" s="133">
        <f t="shared" si="14"/>
        <v>0</v>
      </c>
      <c r="C123" s="140"/>
      <c r="D123" s="140"/>
      <c r="E123" s="140"/>
      <c r="F123" s="140"/>
      <c r="G123" s="140"/>
      <c r="H123" s="140"/>
      <c r="I123" s="140"/>
      <c r="J123" s="140"/>
      <c r="K123" s="141">
        <f t="shared" si="20"/>
        <v>1973250</v>
      </c>
      <c r="L123">
        <f t="shared" si="21"/>
        <v>1</v>
      </c>
      <c r="M123">
        <f t="shared" si="15"/>
        <v>1</v>
      </c>
      <c r="N123">
        <f t="shared" si="15"/>
        <v>0.7</v>
      </c>
      <c r="O123">
        <f t="shared" si="22"/>
        <v>0.7</v>
      </c>
      <c r="P123">
        <f t="shared" si="16"/>
        <v>0.4</v>
      </c>
      <c r="Q123">
        <f t="shared" si="17"/>
        <v>0</v>
      </c>
      <c r="R123">
        <f t="shared" si="18"/>
        <v>0</v>
      </c>
      <c r="S123">
        <f t="shared" si="19"/>
        <v>1</v>
      </c>
    </row>
    <row r="124" spans="1:19" x14ac:dyDescent="0.25">
      <c r="A124" s="135">
        <v>45919</v>
      </c>
      <c r="B124" s="133">
        <f t="shared" si="14"/>
        <v>0</v>
      </c>
      <c r="C124" s="140"/>
      <c r="D124" s="140"/>
      <c r="E124" s="140"/>
      <c r="F124" s="140"/>
      <c r="G124" s="140"/>
      <c r="H124" s="140"/>
      <c r="I124" s="140"/>
      <c r="J124" s="140"/>
      <c r="K124" s="141">
        <f t="shared" si="20"/>
        <v>1973250</v>
      </c>
      <c r="L124">
        <f t="shared" si="21"/>
        <v>1</v>
      </c>
      <c r="M124">
        <f t="shared" si="15"/>
        <v>1</v>
      </c>
      <c r="N124">
        <f t="shared" si="15"/>
        <v>0.7</v>
      </c>
      <c r="O124">
        <f t="shared" si="22"/>
        <v>0.7</v>
      </c>
      <c r="P124">
        <f t="shared" si="16"/>
        <v>0.4</v>
      </c>
      <c r="Q124">
        <f t="shared" si="17"/>
        <v>0</v>
      </c>
      <c r="R124">
        <f t="shared" si="18"/>
        <v>0</v>
      </c>
      <c r="S124">
        <f t="shared" si="19"/>
        <v>1</v>
      </c>
    </row>
    <row r="125" spans="1:19" x14ac:dyDescent="0.25">
      <c r="A125" s="135">
        <v>45920</v>
      </c>
      <c r="B125" s="133">
        <f t="shared" si="14"/>
        <v>0</v>
      </c>
      <c r="C125" s="140"/>
      <c r="D125" s="140"/>
      <c r="E125" s="140"/>
      <c r="F125" s="140"/>
      <c r="G125" s="140"/>
      <c r="H125" s="140"/>
      <c r="I125" s="140"/>
      <c r="J125" s="140"/>
      <c r="K125" s="141">
        <f t="shared" si="20"/>
        <v>1973250</v>
      </c>
      <c r="L125">
        <f t="shared" si="21"/>
        <v>1</v>
      </c>
      <c r="M125">
        <f t="shared" si="15"/>
        <v>1</v>
      </c>
      <c r="N125">
        <f t="shared" si="15"/>
        <v>0.7</v>
      </c>
      <c r="O125">
        <f t="shared" si="22"/>
        <v>0.7</v>
      </c>
      <c r="P125">
        <f t="shared" si="16"/>
        <v>0.4</v>
      </c>
      <c r="Q125">
        <f t="shared" si="17"/>
        <v>0</v>
      </c>
      <c r="R125">
        <f t="shared" si="18"/>
        <v>0</v>
      </c>
      <c r="S125">
        <f t="shared" si="19"/>
        <v>1</v>
      </c>
    </row>
    <row r="126" spans="1:19" x14ac:dyDescent="0.25">
      <c r="A126" s="135">
        <v>45921</v>
      </c>
      <c r="B126" s="133">
        <f t="shared" si="14"/>
        <v>0</v>
      </c>
      <c r="C126" s="140"/>
      <c r="D126" s="140"/>
      <c r="E126" s="140"/>
      <c r="F126" s="140"/>
      <c r="G126" s="140"/>
      <c r="H126" s="140"/>
      <c r="I126" s="140"/>
      <c r="J126" s="140"/>
      <c r="K126" s="141">
        <f t="shared" si="20"/>
        <v>1973250</v>
      </c>
      <c r="L126">
        <f t="shared" si="21"/>
        <v>1</v>
      </c>
      <c r="M126">
        <f t="shared" si="15"/>
        <v>1</v>
      </c>
      <c r="N126">
        <f t="shared" si="15"/>
        <v>0.7</v>
      </c>
      <c r="O126">
        <f t="shared" si="22"/>
        <v>0.7</v>
      </c>
      <c r="P126">
        <f t="shared" si="16"/>
        <v>0.4</v>
      </c>
      <c r="Q126">
        <f t="shared" si="17"/>
        <v>0</v>
      </c>
      <c r="R126">
        <f t="shared" si="18"/>
        <v>0</v>
      </c>
      <c r="S126">
        <f t="shared" si="19"/>
        <v>1</v>
      </c>
    </row>
    <row r="127" spans="1:19" x14ac:dyDescent="0.25">
      <c r="A127" s="135">
        <v>45922</v>
      </c>
      <c r="B127" s="133">
        <f t="shared" si="14"/>
        <v>0</v>
      </c>
      <c r="C127" s="140"/>
      <c r="D127" s="140"/>
      <c r="E127" s="140"/>
      <c r="F127" s="140"/>
      <c r="G127" s="140"/>
      <c r="H127" s="140"/>
      <c r="I127" s="140"/>
      <c r="J127" s="140"/>
      <c r="K127" s="141">
        <f t="shared" si="20"/>
        <v>1973250</v>
      </c>
      <c r="L127">
        <f t="shared" si="21"/>
        <v>1</v>
      </c>
      <c r="M127">
        <f t="shared" si="15"/>
        <v>1</v>
      </c>
      <c r="N127">
        <f t="shared" si="15"/>
        <v>0.7</v>
      </c>
      <c r="O127">
        <f t="shared" si="22"/>
        <v>0.7</v>
      </c>
      <c r="P127">
        <f t="shared" si="16"/>
        <v>0.4</v>
      </c>
      <c r="Q127">
        <f t="shared" si="17"/>
        <v>0</v>
      </c>
      <c r="R127">
        <f t="shared" si="18"/>
        <v>0</v>
      </c>
      <c r="S127">
        <f t="shared" si="19"/>
        <v>1</v>
      </c>
    </row>
  </sheetData>
  <mergeCells count="1">
    <mergeCell ref="K2:K7"/>
  </mergeCells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11"/>
  </sheetPr>
  <dimension ref="A1:AG127"/>
  <sheetViews>
    <sheetView workbookViewId="0">
      <pane xSplit="2" ySplit="7" topLeftCell="C26" activePane="bottomRight" state="frozen"/>
      <selection pane="topRight" activeCell="C1" sqref="C1"/>
      <selection pane="bottomLeft" activeCell="A7" sqref="A7"/>
      <selection pane="bottomRight" activeCell="A43" sqref="A43:XFD43"/>
    </sheetView>
  </sheetViews>
  <sheetFormatPr defaultRowHeight="16.5" x14ac:dyDescent="0.25"/>
  <cols>
    <col min="1" max="1" width="19.75" customWidth="1"/>
    <col min="3" max="33" width="8.75" customWidth="1"/>
  </cols>
  <sheetData>
    <row r="1" spans="1:33" x14ac:dyDescent="0.25">
      <c r="B1" s="175" t="s">
        <v>371</v>
      </c>
      <c r="C1" s="175">
        <v>1</v>
      </c>
      <c r="D1" s="175">
        <v>2</v>
      </c>
      <c r="E1" s="175">
        <v>3</v>
      </c>
      <c r="F1" s="175">
        <v>4</v>
      </c>
      <c r="G1" s="175">
        <v>5</v>
      </c>
      <c r="H1" s="175" t="s">
        <v>419</v>
      </c>
      <c r="I1" s="175" t="s">
        <v>449</v>
      </c>
      <c r="J1" s="175" t="s">
        <v>451</v>
      </c>
      <c r="K1" s="175" t="s">
        <v>453</v>
      </c>
      <c r="L1" s="175" t="s">
        <v>455</v>
      </c>
      <c r="N1" s="116">
        <v>1</v>
      </c>
      <c r="O1" s="116">
        <v>2</v>
      </c>
      <c r="P1" s="116">
        <v>3</v>
      </c>
      <c r="Q1" s="116">
        <v>4</v>
      </c>
      <c r="R1" s="116">
        <v>5</v>
      </c>
      <c r="S1" s="116" t="s">
        <v>419</v>
      </c>
      <c r="T1" s="116" t="s">
        <v>449</v>
      </c>
      <c r="U1" s="116" t="s">
        <v>451</v>
      </c>
      <c r="V1" s="116" t="s">
        <v>453</v>
      </c>
      <c r="W1" s="116" t="s">
        <v>455</v>
      </c>
    </row>
    <row r="2" spans="1:33" ht="82.5" x14ac:dyDescent="0.25">
      <c r="A2" s="132"/>
      <c r="B2" s="132" t="s">
        <v>321</v>
      </c>
      <c r="C2" s="136" t="s">
        <v>482</v>
      </c>
      <c r="D2" s="136" t="s">
        <v>444</v>
      </c>
      <c r="E2" s="136" t="s">
        <v>445</v>
      </c>
      <c r="F2" s="136" t="s">
        <v>446</v>
      </c>
      <c r="G2" s="136" t="s">
        <v>447</v>
      </c>
      <c r="H2" s="136" t="s">
        <v>448</v>
      </c>
      <c r="I2" s="136" t="s">
        <v>450</v>
      </c>
      <c r="J2" s="136" t="s">
        <v>452</v>
      </c>
      <c r="K2" s="136" t="s">
        <v>454</v>
      </c>
      <c r="L2" s="136" t="s">
        <v>456</v>
      </c>
      <c r="M2" s="286" t="s">
        <v>327</v>
      </c>
      <c r="N2" s="136" t="s">
        <v>443</v>
      </c>
      <c r="O2" s="136" t="s">
        <v>444</v>
      </c>
      <c r="P2" s="136" t="s">
        <v>445</v>
      </c>
      <c r="Q2" s="136" t="s">
        <v>446</v>
      </c>
      <c r="R2" s="136" t="s">
        <v>447</v>
      </c>
      <c r="S2" s="136" t="s">
        <v>448</v>
      </c>
      <c r="T2" s="136" t="s">
        <v>450</v>
      </c>
      <c r="U2" s="136" t="s">
        <v>452</v>
      </c>
      <c r="V2" s="136" t="s">
        <v>454</v>
      </c>
      <c r="W2" s="136" t="s">
        <v>456</v>
      </c>
      <c r="X2" s="80"/>
      <c r="Y2" s="80"/>
      <c r="Z2" s="80"/>
      <c r="AA2" s="80"/>
      <c r="AB2" s="80"/>
      <c r="AC2" s="80"/>
      <c r="AD2" s="80"/>
      <c r="AE2" s="80"/>
      <c r="AF2" s="80"/>
      <c r="AG2" s="80"/>
    </row>
    <row r="3" spans="1:33" x14ac:dyDescent="0.25">
      <c r="A3" s="132"/>
      <c r="B3" s="132" t="s">
        <v>322</v>
      </c>
      <c r="C3" s="137">
        <v>386000</v>
      </c>
      <c r="D3" s="137">
        <v>3000</v>
      </c>
      <c r="E3" s="137">
        <v>40000</v>
      </c>
      <c r="F3" s="137">
        <v>80000</v>
      </c>
      <c r="G3" s="137">
        <v>40000</v>
      </c>
      <c r="H3" s="137">
        <v>45112</v>
      </c>
      <c r="I3" s="137">
        <v>45112</v>
      </c>
      <c r="J3" s="137">
        <v>315781</v>
      </c>
      <c r="K3" s="137">
        <v>13533</v>
      </c>
      <c r="L3" s="137">
        <v>246535</v>
      </c>
      <c r="M3" s="287"/>
      <c r="N3" s="137">
        <v>386000</v>
      </c>
      <c r="O3" s="137">
        <v>3000</v>
      </c>
      <c r="P3" s="137">
        <v>40000</v>
      </c>
      <c r="Q3" s="137">
        <v>80000</v>
      </c>
      <c r="R3" s="137">
        <v>40000</v>
      </c>
      <c r="S3" s="137">
        <v>45112</v>
      </c>
      <c r="T3" s="137">
        <v>45112</v>
      </c>
      <c r="U3" s="137">
        <v>315781</v>
      </c>
      <c r="V3" s="137">
        <v>13533</v>
      </c>
      <c r="W3" s="137">
        <v>246535</v>
      </c>
      <c r="X3" s="116"/>
      <c r="Y3" s="116"/>
      <c r="Z3" s="116"/>
      <c r="AA3" s="116"/>
      <c r="AB3" s="116"/>
      <c r="AC3" s="116"/>
      <c r="AD3" s="116"/>
      <c r="AE3" s="116"/>
      <c r="AF3" s="116"/>
      <c r="AG3" s="116"/>
    </row>
    <row r="4" spans="1:33" x14ac:dyDescent="0.25">
      <c r="A4" s="132"/>
      <c r="B4" s="132" t="s">
        <v>323</v>
      </c>
      <c r="C4" s="137">
        <v>1</v>
      </c>
      <c r="D4" s="137">
        <v>10</v>
      </c>
      <c r="E4" s="137">
        <v>10</v>
      </c>
      <c r="F4" s="137">
        <v>1</v>
      </c>
      <c r="G4" s="137">
        <v>1</v>
      </c>
      <c r="H4" s="137">
        <v>1</v>
      </c>
      <c r="I4" s="137">
        <v>1</v>
      </c>
      <c r="J4" s="137">
        <v>1</v>
      </c>
      <c r="K4" s="137">
        <v>1</v>
      </c>
      <c r="L4" s="137">
        <v>1</v>
      </c>
      <c r="M4" s="287"/>
      <c r="N4" s="137">
        <v>1</v>
      </c>
      <c r="O4" s="137">
        <v>10</v>
      </c>
      <c r="P4" s="137">
        <v>10</v>
      </c>
      <c r="Q4" s="137">
        <v>1</v>
      </c>
      <c r="R4" s="137">
        <v>1</v>
      </c>
      <c r="S4" s="137">
        <v>1</v>
      </c>
      <c r="T4" s="137">
        <v>1</v>
      </c>
      <c r="U4" s="137">
        <v>1</v>
      </c>
      <c r="V4" s="137">
        <v>1</v>
      </c>
      <c r="W4" s="137">
        <v>1</v>
      </c>
      <c r="X4" s="116"/>
      <c r="Y4" s="116"/>
      <c r="Z4" s="116"/>
      <c r="AA4" s="116"/>
      <c r="AB4" s="116"/>
      <c r="AC4" s="116"/>
      <c r="AD4" s="116"/>
      <c r="AE4" s="116"/>
      <c r="AF4" s="116"/>
      <c r="AG4" s="116"/>
    </row>
    <row r="5" spans="1:33" x14ac:dyDescent="0.25">
      <c r="A5" s="133"/>
      <c r="B5" s="133" t="s">
        <v>324</v>
      </c>
      <c r="C5" s="138">
        <f>SUM(C8:C127)</f>
        <v>0.1</v>
      </c>
      <c r="D5" s="138">
        <f t="shared" ref="D5:L5" si="0">SUM(D8:D127)</f>
        <v>0</v>
      </c>
      <c r="E5" s="138">
        <f t="shared" si="0"/>
        <v>0</v>
      </c>
      <c r="F5" s="138">
        <f t="shared" si="0"/>
        <v>0</v>
      </c>
      <c r="G5" s="138">
        <f t="shared" si="0"/>
        <v>0</v>
      </c>
      <c r="H5" s="138">
        <f t="shared" si="0"/>
        <v>0</v>
      </c>
      <c r="I5" s="138">
        <f t="shared" si="0"/>
        <v>0</v>
      </c>
      <c r="J5" s="138">
        <f t="shared" si="0"/>
        <v>0</v>
      </c>
      <c r="K5" s="138">
        <f t="shared" si="0"/>
        <v>0</v>
      </c>
      <c r="L5" s="138">
        <f t="shared" si="0"/>
        <v>0</v>
      </c>
      <c r="M5" s="287"/>
      <c r="N5" s="138">
        <f>C5</f>
        <v>0.1</v>
      </c>
      <c r="O5" s="138">
        <f t="shared" ref="O5:W5" si="1">D5</f>
        <v>0</v>
      </c>
      <c r="P5" s="138">
        <f t="shared" si="1"/>
        <v>0</v>
      </c>
      <c r="Q5" s="138">
        <f t="shared" si="1"/>
        <v>0</v>
      </c>
      <c r="R5" s="138">
        <f t="shared" si="1"/>
        <v>0</v>
      </c>
      <c r="S5" s="138">
        <f t="shared" si="1"/>
        <v>0</v>
      </c>
      <c r="T5" s="138">
        <f t="shared" si="1"/>
        <v>0</v>
      </c>
      <c r="U5" s="138">
        <f t="shared" si="1"/>
        <v>0</v>
      </c>
      <c r="V5" s="138">
        <f t="shared" si="1"/>
        <v>0</v>
      </c>
      <c r="W5" s="138">
        <f t="shared" si="1"/>
        <v>0</v>
      </c>
      <c r="X5" s="116"/>
      <c r="Y5" s="116"/>
      <c r="Z5" s="116"/>
      <c r="AA5" s="116"/>
      <c r="AB5" s="116"/>
      <c r="AC5" s="116"/>
      <c r="AD5" s="116"/>
      <c r="AE5" s="116"/>
      <c r="AF5" s="116"/>
      <c r="AG5" s="116"/>
    </row>
    <row r="6" spans="1:33" x14ac:dyDescent="0.25">
      <c r="A6" s="79" t="s">
        <v>469</v>
      </c>
      <c r="C6" s="116"/>
      <c r="D6" s="116"/>
      <c r="E6" s="116"/>
      <c r="F6" s="116"/>
      <c r="G6" s="116"/>
      <c r="H6" s="116"/>
      <c r="I6" s="116"/>
      <c r="J6" s="116"/>
      <c r="K6" s="116"/>
      <c r="L6" s="116"/>
      <c r="M6" s="287"/>
      <c r="N6" s="116"/>
      <c r="O6" s="116"/>
      <c r="P6" s="116"/>
      <c r="Q6" s="116"/>
      <c r="R6" s="116"/>
      <c r="S6" s="116"/>
      <c r="T6" s="116"/>
      <c r="U6" s="116"/>
      <c r="V6" s="116"/>
      <c r="W6" s="116"/>
      <c r="X6" s="116"/>
      <c r="Y6" s="116"/>
      <c r="Z6" s="116"/>
      <c r="AA6" s="116"/>
      <c r="AB6" s="116"/>
      <c r="AC6" s="116"/>
      <c r="AD6" s="116"/>
      <c r="AE6" s="116"/>
      <c r="AF6" s="116"/>
      <c r="AG6" s="116"/>
    </row>
    <row r="7" spans="1:33" x14ac:dyDescent="0.25">
      <c r="A7" s="134" t="s">
        <v>325</v>
      </c>
      <c r="B7" s="134" t="s">
        <v>326</v>
      </c>
      <c r="C7" s="139" t="s">
        <v>66</v>
      </c>
      <c r="D7" s="139" t="s">
        <v>201</v>
      </c>
      <c r="E7" s="139" t="s">
        <v>201</v>
      </c>
      <c r="F7" s="139" t="s">
        <v>66</v>
      </c>
      <c r="G7" s="139" t="s">
        <v>66</v>
      </c>
      <c r="H7" s="139" t="s">
        <v>66</v>
      </c>
      <c r="I7" s="139" t="s">
        <v>66</v>
      </c>
      <c r="J7" s="139" t="s">
        <v>66</v>
      </c>
      <c r="K7" s="139" t="s">
        <v>66</v>
      </c>
      <c r="L7" s="139" t="s">
        <v>66</v>
      </c>
      <c r="M7" s="288"/>
      <c r="N7" s="139" t="s">
        <v>66</v>
      </c>
      <c r="O7" s="139" t="s">
        <v>201</v>
      </c>
      <c r="P7" s="139" t="s">
        <v>201</v>
      </c>
      <c r="Q7" s="139" t="s">
        <v>66</v>
      </c>
      <c r="R7" s="139" t="s">
        <v>66</v>
      </c>
      <c r="S7" s="139" t="s">
        <v>66</v>
      </c>
      <c r="T7" s="139" t="s">
        <v>66</v>
      </c>
      <c r="U7" s="139" t="s">
        <v>66</v>
      </c>
      <c r="V7" s="139" t="s">
        <v>66</v>
      </c>
      <c r="W7" s="139" t="s">
        <v>66</v>
      </c>
      <c r="X7" s="116"/>
      <c r="Y7" s="116"/>
      <c r="Z7" s="116"/>
      <c r="AA7" s="116"/>
      <c r="AB7" s="116"/>
      <c r="AC7" s="116"/>
      <c r="AD7" s="116"/>
      <c r="AE7" s="116"/>
      <c r="AF7" s="116"/>
      <c r="AG7" s="116"/>
    </row>
    <row r="8" spans="1:33" x14ac:dyDescent="0.25">
      <c r="A8" s="135">
        <v>45803</v>
      </c>
      <c r="B8" s="133">
        <f>SUMPRODUCT($C$3:$L$3,C8:L8)</f>
        <v>0</v>
      </c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1">
        <f>B8</f>
        <v>0</v>
      </c>
      <c r="N8">
        <f>C8</f>
        <v>0</v>
      </c>
      <c r="O8">
        <f t="shared" ref="O8:W8" si="2">D8</f>
        <v>0</v>
      </c>
      <c r="P8">
        <f t="shared" si="2"/>
        <v>0</v>
      </c>
      <c r="Q8">
        <f t="shared" si="2"/>
        <v>0</v>
      </c>
      <c r="R8">
        <f t="shared" si="2"/>
        <v>0</v>
      </c>
      <c r="S8">
        <f t="shared" si="2"/>
        <v>0</v>
      </c>
      <c r="T8">
        <f t="shared" si="2"/>
        <v>0</v>
      </c>
      <c r="U8">
        <f t="shared" si="2"/>
        <v>0</v>
      </c>
      <c r="V8">
        <f t="shared" si="2"/>
        <v>0</v>
      </c>
      <c r="W8">
        <f t="shared" si="2"/>
        <v>0</v>
      </c>
    </row>
    <row r="9" spans="1:33" x14ac:dyDescent="0.25">
      <c r="A9" s="135">
        <v>45804</v>
      </c>
      <c r="B9" s="133">
        <f t="shared" ref="B9:B72" si="3">SUMPRODUCT($C$3:$L$3,C9:L9)</f>
        <v>0</v>
      </c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1">
        <f>B9+M8</f>
        <v>0</v>
      </c>
      <c r="N9">
        <f>C9+N8</f>
        <v>0</v>
      </c>
      <c r="O9">
        <f t="shared" ref="O9:O72" si="4">D9+O8</f>
        <v>0</v>
      </c>
      <c r="P9">
        <f t="shared" ref="P9:P72" si="5">E9+P8</f>
        <v>0</v>
      </c>
      <c r="Q9">
        <f t="shared" ref="Q9:Q72" si="6">F9+Q8</f>
        <v>0</v>
      </c>
      <c r="R9">
        <f t="shared" ref="R9:R72" si="7">G9+R8</f>
        <v>0</v>
      </c>
      <c r="S9">
        <f t="shared" ref="S9:S72" si="8">H9+S8</f>
        <v>0</v>
      </c>
      <c r="T9">
        <f t="shared" ref="T9:T72" si="9">I9+T8</f>
        <v>0</v>
      </c>
      <c r="U9">
        <f t="shared" ref="U9:U72" si="10">J9+U8</f>
        <v>0</v>
      </c>
      <c r="V9">
        <f t="shared" ref="V9:V72" si="11">K9+V8</f>
        <v>0</v>
      </c>
      <c r="W9">
        <f t="shared" ref="W9:W72" si="12">L9+W8</f>
        <v>0</v>
      </c>
    </row>
    <row r="10" spans="1:33" x14ac:dyDescent="0.25">
      <c r="A10" s="135">
        <v>45805</v>
      </c>
      <c r="B10" s="133">
        <f t="shared" si="3"/>
        <v>0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1">
        <f t="shared" ref="M10:M73" si="13">B10+M9</f>
        <v>0</v>
      </c>
      <c r="N10">
        <f t="shared" ref="N10:N73" si="14">C10+N9</f>
        <v>0</v>
      </c>
      <c r="O10">
        <f t="shared" si="4"/>
        <v>0</v>
      </c>
      <c r="P10">
        <f t="shared" si="5"/>
        <v>0</v>
      </c>
      <c r="Q10">
        <f t="shared" si="6"/>
        <v>0</v>
      </c>
      <c r="R10">
        <f t="shared" si="7"/>
        <v>0</v>
      </c>
      <c r="S10">
        <f t="shared" si="8"/>
        <v>0</v>
      </c>
      <c r="T10">
        <f t="shared" si="9"/>
        <v>0</v>
      </c>
      <c r="U10">
        <f t="shared" si="10"/>
        <v>0</v>
      </c>
      <c r="V10">
        <f t="shared" si="11"/>
        <v>0</v>
      </c>
      <c r="W10">
        <f t="shared" si="12"/>
        <v>0</v>
      </c>
    </row>
    <row r="11" spans="1:33" x14ac:dyDescent="0.25">
      <c r="A11" s="135">
        <v>45806</v>
      </c>
      <c r="B11" s="133">
        <f t="shared" si="3"/>
        <v>0</v>
      </c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1">
        <f t="shared" si="13"/>
        <v>0</v>
      </c>
      <c r="N11">
        <f t="shared" si="14"/>
        <v>0</v>
      </c>
      <c r="O11">
        <f t="shared" si="4"/>
        <v>0</v>
      </c>
      <c r="P11">
        <f t="shared" si="5"/>
        <v>0</v>
      </c>
      <c r="Q11">
        <f t="shared" si="6"/>
        <v>0</v>
      </c>
      <c r="R11">
        <f t="shared" si="7"/>
        <v>0</v>
      </c>
      <c r="S11">
        <f t="shared" si="8"/>
        <v>0</v>
      </c>
      <c r="T11">
        <f t="shared" si="9"/>
        <v>0</v>
      </c>
      <c r="U11">
        <f t="shared" si="10"/>
        <v>0</v>
      </c>
      <c r="V11">
        <f t="shared" si="11"/>
        <v>0</v>
      </c>
      <c r="W11">
        <f t="shared" si="12"/>
        <v>0</v>
      </c>
    </row>
    <row r="12" spans="1:33" x14ac:dyDescent="0.25">
      <c r="A12" s="135">
        <v>45807</v>
      </c>
      <c r="B12" s="133">
        <f t="shared" si="3"/>
        <v>0</v>
      </c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1">
        <f t="shared" si="13"/>
        <v>0</v>
      </c>
      <c r="N12">
        <f t="shared" si="14"/>
        <v>0</v>
      </c>
      <c r="O12">
        <f t="shared" si="4"/>
        <v>0</v>
      </c>
      <c r="P12">
        <f t="shared" si="5"/>
        <v>0</v>
      </c>
      <c r="Q12">
        <f t="shared" si="6"/>
        <v>0</v>
      </c>
      <c r="R12">
        <f t="shared" si="7"/>
        <v>0</v>
      </c>
      <c r="S12">
        <f t="shared" si="8"/>
        <v>0</v>
      </c>
      <c r="T12">
        <f t="shared" si="9"/>
        <v>0</v>
      </c>
      <c r="U12">
        <f t="shared" si="10"/>
        <v>0</v>
      </c>
      <c r="V12">
        <f t="shared" si="11"/>
        <v>0</v>
      </c>
      <c r="W12">
        <f t="shared" si="12"/>
        <v>0</v>
      </c>
    </row>
    <row r="13" spans="1:33" x14ac:dyDescent="0.25">
      <c r="A13" s="135">
        <v>45808</v>
      </c>
      <c r="B13" s="133">
        <f t="shared" si="3"/>
        <v>0</v>
      </c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1">
        <f t="shared" si="13"/>
        <v>0</v>
      </c>
      <c r="N13">
        <f t="shared" si="14"/>
        <v>0</v>
      </c>
      <c r="O13">
        <f t="shared" si="4"/>
        <v>0</v>
      </c>
      <c r="P13">
        <f t="shared" si="5"/>
        <v>0</v>
      </c>
      <c r="Q13">
        <f t="shared" si="6"/>
        <v>0</v>
      </c>
      <c r="R13">
        <f t="shared" si="7"/>
        <v>0</v>
      </c>
      <c r="S13">
        <f t="shared" si="8"/>
        <v>0</v>
      </c>
      <c r="T13">
        <f t="shared" si="9"/>
        <v>0</v>
      </c>
      <c r="U13">
        <f t="shared" si="10"/>
        <v>0</v>
      </c>
      <c r="V13">
        <f t="shared" si="11"/>
        <v>0</v>
      </c>
      <c r="W13">
        <f t="shared" si="12"/>
        <v>0</v>
      </c>
    </row>
    <row r="14" spans="1:33" x14ac:dyDescent="0.25">
      <c r="A14" s="135">
        <v>45809</v>
      </c>
      <c r="B14" s="133">
        <f t="shared" si="3"/>
        <v>0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1">
        <f t="shared" si="13"/>
        <v>0</v>
      </c>
      <c r="N14">
        <f t="shared" si="14"/>
        <v>0</v>
      </c>
      <c r="O14">
        <f t="shared" si="4"/>
        <v>0</v>
      </c>
      <c r="P14">
        <f t="shared" si="5"/>
        <v>0</v>
      </c>
      <c r="Q14">
        <f t="shared" si="6"/>
        <v>0</v>
      </c>
      <c r="R14">
        <f t="shared" si="7"/>
        <v>0</v>
      </c>
      <c r="S14">
        <f t="shared" si="8"/>
        <v>0</v>
      </c>
      <c r="T14">
        <f t="shared" si="9"/>
        <v>0</v>
      </c>
      <c r="U14">
        <f t="shared" si="10"/>
        <v>0</v>
      </c>
      <c r="V14">
        <f t="shared" si="11"/>
        <v>0</v>
      </c>
      <c r="W14">
        <f t="shared" si="12"/>
        <v>0</v>
      </c>
    </row>
    <row r="15" spans="1:33" x14ac:dyDescent="0.25">
      <c r="A15" s="135">
        <v>45810</v>
      </c>
      <c r="B15" s="133">
        <f t="shared" si="3"/>
        <v>38600</v>
      </c>
      <c r="C15" s="140">
        <v>0.1</v>
      </c>
      <c r="D15" s="140"/>
      <c r="E15" s="140"/>
      <c r="F15" s="140"/>
      <c r="G15" s="140"/>
      <c r="H15" s="140"/>
      <c r="I15" s="140"/>
      <c r="J15" s="140"/>
      <c r="K15" s="140"/>
      <c r="L15" s="140"/>
      <c r="M15" s="141">
        <f t="shared" si="13"/>
        <v>38600</v>
      </c>
      <c r="N15">
        <f t="shared" si="14"/>
        <v>0.1</v>
      </c>
      <c r="O15">
        <f t="shared" si="4"/>
        <v>0</v>
      </c>
      <c r="P15">
        <f t="shared" si="5"/>
        <v>0</v>
      </c>
      <c r="Q15">
        <f t="shared" si="6"/>
        <v>0</v>
      </c>
      <c r="R15">
        <f t="shared" si="7"/>
        <v>0</v>
      </c>
      <c r="S15">
        <f t="shared" si="8"/>
        <v>0</v>
      </c>
      <c r="T15">
        <f t="shared" si="9"/>
        <v>0</v>
      </c>
      <c r="U15">
        <f t="shared" si="10"/>
        <v>0</v>
      </c>
      <c r="V15">
        <f t="shared" si="11"/>
        <v>0</v>
      </c>
      <c r="W15">
        <f t="shared" si="12"/>
        <v>0</v>
      </c>
    </row>
    <row r="16" spans="1:33" x14ac:dyDescent="0.25">
      <c r="A16" s="135">
        <v>45811</v>
      </c>
      <c r="B16" s="133">
        <f t="shared" si="3"/>
        <v>0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1">
        <f t="shared" si="13"/>
        <v>38600</v>
      </c>
      <c r="N16">
        <f t="shared" si="14"/>
        <v>0.1</v>
      </c>
      <c r="O16">
        <f t="shared" si="4"/>
        <v>0</v>
      </c>
      <c r="P16">
        <f t="shared" si="5"/>
        <v>0</v>
      </c>
      <c r="Q16">
        <f t="shared" si="6"/>
        <v>0</v>
      </c>
      <c r="R16">
        <f t="shared" si="7"/>
        <v>0</v>
      </c>
      <c r="S16">
        <f t="shared" si="8"/>
        <v>0</v>
      </c>
      <c r="T16">
        <f t="shared" si="9"/>
        <v>0</v>
      </c>
      <c r="U16">
        <f t="shared" si="10"/>
        <v>0</v>
      </c>
      <c r="V16">
        <f t="shared" si="11"/>
        <v>0</v>
      </c>
      <c r="W16">
        <f t="shared" si="12"/>
        <v>0</v>
      </c>
    </row>
    <row r="17" spans="1:23" x14ac:dyDescent="0.25">
      <c r="A17" s="135">
        <v>45812</v>
      </c>
      <c r="B17" s="133">
        <f t="shared" si="3"/>
        <v>0</v>
      </c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1">
        <f t="shared" si="13"/>
        <v>38600</v>
      </c>
      <c r="N17">
        <f t="shared" si="14"/>
        <v>0.1</v>
      </c>
      <c r="O17">
        <f t="shared" si="4"/>
        <v>0</v>
      </c>
      <c r="P17">
        <f t="shared" si="5"/>
        <v>0</v>
      </c>
      <c r="Q17">
        <f t="shared" si="6"/>
        <v>0</v>
      </c>
      <c r="R17">
        <f t="shared" si="7"/>
        <v>0</v>
      </c>
      <c r="S17">
        <f t="shared" si="8"/>
        <v>0</v>
      </c>
      <c r="T17">
        <f t="shared" si="9"/>
        <v>0</v>
      </c>
      <c r="U17">
        <f t="shared" si="10"/>
        <v>0</v>
      </c>
      <c r="V17">
        <f t="shared" si="11"/>
        <v>0</v>
      </c>
      <c r="W17">
        <f t="shared" si="12"/>
        <v>0</v>
      </c>
    </row>
    <row r="18" spans="1:23" x14ac:dyDescent="0.25">
      <c r="A18" s="135">
        <v>45813</v>
      </c>
      <c r="B18" s="133">
        <f t="shared" si="3"/>
        <v>0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1">
        <f t="shared" si="13"/>
        <v>38600</v>
      </c>
      <c r="N18">
        <f t="shared" si="14"/>
        <v>0.1</v>
      </c>
      <c r="O18">
        <f t="shared" si="4"/>
        <v>0</v>
      </c>
      <c r="P18">
        <f t="shared" si="5"/>
        <v>0</v>
      </c>
      <c r="Q18">
        <f t="shared" si="6"/>
        <v>0</v>
      </c>
      <c r="R18">
        <f t="shared" si="7"/>
        <v>0</v>
      </c>
      <c r="S18">
        <f t="shared" si="8"/>
        <v>0</v>
      </c>
      <c r="T18">
        <f t="shared" si="9"/>
        <v>0</v>
      </c>
      <c r="U18">
        <f t="shared" si="10"/>
        <v>0</v>
      </c>
      <c r="V18">
        <f t="shared" si="11"/>
        <v>0</v>
      </c>
      <c r="W18">
        <f t="shared" si="12"/>
        <v>0</v>
      </c>
    </row>
    <row r="19" spans="1:23" x14ac:dyDescent="0.25">
      <c r="A19" s="135">
        <v>45814</v>
      </c>
      <c r="B19" s="133">
        <f t="shared" si="3"/>
        <v>0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>
        <f t="shared" si="13"/>
        <v>38600</v>
      </c>
      <c r="N19">
        <f t="shared" si="14"/>
        <v>0.1</v>
      </c>
      <c r="O19">
        <f t="shared" si="4"/>
        <v>0</v>
      </c>
      <c r="P19">
        <f t="shared" si="5"/>
        <v>0</v>
      </c>
      <c r="Q19">
        <f t="shared" si="6"/>
        <v>0</v>
      </c>
      <c r="R19">
        <f t="shared" si="7"/>
        <v>0</v>
      </c>
      <c r="S19">
        <f t="shared" si="8"/>
        <v>0</v>
      </c>
      <c r="T19">
        <f t="shared" si="9"/>
        <v>0</v>
      </c>
      <c r="U19">
        <f t="shared" si="10"/>
        <v>0</v>
      </c>
      <c r="V19">
        <f t="shared" si="11"/>
        <v>0</v>
      </c>
      <c r="W19">
        <f t="shared" si="12"/>
        <v>0</v>
      </c>
    </row>
    <row r="20" spans="1:23" x14ac:dyDescent="0.25">
      <c r="A20" s="135">
        <v>45815</v>
      </c>
      <c r="B20" s="133">
        <f t="shared" si="3"/>
        <v>0</v>
      </c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1">
        <f t="shared" si="13"/>
        <v>38600</v>
      </c>
      <c r="N20">
        <f t="shared" si="14"/>
        <v>0.1</v>
      </c>
      <c r="O20">
        <f t="shared" si="4"/>
        <v>0</v>
      </c>
      <c r="P20">
        <f t="shared" si="5"/>
        <v>0</v>
      </c>
      <c r="Q20">
        <f t="shared" si="6"/>
        <v>0</v>
      </c>
      <c r="R20">
        <f t="shared" si="7"/>
        <v>0</v>
      </c>
      <c r="S20">
        <f t="shared" si="8"/>
        <v>0</v>
      </c>
      <c r="T20">
        <f t="shared" si="9"/>
        <v>0</v>
      </c>
      <c r="U20">
        <f t="shared" si="10"/>
        <v>0</v>
      </c>
      <c r="V20">
        <f t="shared" si="11"/>
        <v>0</v>
      </c>
      <c r="W20">
        <f t="shared" si="12"/>
        <v>0</v>
      </c>
    </row>
    <row r="21" spans="1:23" x14ac:dyDescent="0.25">
      <c r="A21" s="135">
        <v>45816</v>
      </c>
      <c r="B21" s="133">
        <f t="shared" si="3"/>
        <v>0</v>
      </c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1">
        <f t="shared" si="13"/>
        <v>38600</v>
      </c>
      <c r="N21">
        <f t="shared" si="14"/>
        <v>0.1</v>
      </c>
      <c r="O21">
        <f t="shared" si="4"/>
        <v>0</v>
      </c>
      <c r="P21">
        <f t="shared" si="5"/>
        <v>0</v>
      </c>
      <c r="Q21">
        <f t="shared" si="6"/>
        <v>0</v>
      </c>
      <c r="R21">
        <f t="shared" si="7"/>
        <v>0</v>
      </c>
      <c r="S21">
        <f t="shared" si="8"/>
        <v>0</v>
      </c>
      <c r="T21">
        <f t="shared" si="9"/>
        <v>0</v>
      </c>
      <c r="U21">
        <f t="shared" si="10"/>
        <v>0</v>
      </c>
      <c r="V21">
        <f t="shared" si="11"/>
        <v>0</v>
      </c>
      <c r="W21">
        <f t="shared" si="12"/>
        <v>0</v>
      </c>
    </row>
    <row r="22" spans="1:23" x14ac:dyDescent="0.25">
      <c r="A22" s="135">
        <v>45817</v>
      </c>
      <c r="B22" s="133">
        <f t="shared" si="3"/>
        <v>0</v>
      </c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1">
        <f t="shared" si="13"/>
        <v>38600</v>
      </c>
      <c r="N22">
        <f t="shared" si="14"/>
        <v>0.1</v>
      </c>
      <c r="O22">
        <f t="shared" si="4"/>
        <v>0</v>
      </c>
      <c r="P22">
        <f t="shared" si="5"/>
        <v>0</v>
      </c>
      <c r="Q22">
        <f t="shared" si="6"/>
        <v>0</v>
      </c>
      <c r="R22">
        <f t="shared" si="7"/>
        <v>0</v>
      </c>
      <c r="S22">
        <f t="shared" si="8"/>
        <v>0</v>
      </c>
      <c r="T22">
        <f t="shared" si="9"/>
        <v>0</v>
      </c>
      <c r="U22">
        <f t="shared" si="10"/>
        <v>0</v>
      </c>
      <c r="V22">
        <f t="shared" si="11"/>
        <v>0</v>
      </c>
      <c r="W22">
        <f t="shared" si="12"/>
        <v>0</v>
      </c>
    </row>
    <row r="23" spans="1:23" x14ac:dyDescent="0.25">
      <c r="A23" s="135">
        <v>45818</v>
      </c>
      <c r="B23" s="133">
        <f t="shared" si="3"/>
        <v>0</v>
      </c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1">
        <f t="shared" si="13"/>
        <v>38600</v>
      </c>
      <c r="N23">
        <f t="shared" si="14"/>
        <v>0.1</v>
      </c>
      <c r="O23">
        <f t="shared" si="4"/>
        <v>0</v>
      </c>
      <c r="P23">
        <f t="shared" si="5"/>
        <v>0</v>
      </c>
      <c r="Q23">
        <f t="shared" si="6"/>
        <v>0</v>
      </c>
      <c r="R23">
        <f t="shared" si="7"/>
        <v>0</v>
      </c>
      <c r="S23">
        <f t="shared" si="8"/>
        <v>0</v>
      </c>
      <c r="T23">
        <f t="shared" si="9"/>
        <v>0</v>
      </c>
      <c r="U23">
        <f t="shared" si="10"/>
        <v>0</v>
      </c>
      <c r="V23">
        <f t="shared" si="11"/>
        <v>0</v>
      </c>
      <c r="W23">
        <f t="shared" si="12"/>
        <v>0</v>
      </c>
    </row>
    <row r="24" spans="1:23" x14ac:dyDescent="0.25">
      <c r="A24" s="135">
        <v>45819</v>
      </c>
      <c r="B24" s="133">
        <f t="shared" si="3"/>
        <v>0</v>
      </c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1">
        <f t="shared" si="13"/>
        <v>38600</v>
      </c>
      <c r="N24">
        <f t="shared" si="14"/>
        <v>0.1</v>
      </c>
      <c r="O24">
        <f t="shared" si="4"/>
        <v>0</v>
      </c>
      <c r="P24">
        <f t="shared" si="5"/>
        <v>0</v>
      </c>
      <c r="Q24">
        <f t="shared" si="6"/>
        <v>0</v>
      </c>
      <c r="R24">
        <f t="shared" si="7"/>
        <v>0</v>
      </c>
      <c r="S24">
        <f t="shared" si="8"/>
        <v>0</v>
      </c>
      <c r="T24">
        <f t="shared" si="9"/>
        <v>0</v>
      </c>
      <c r="U24">
        <f t="shared" si="10"/>
        <v>0</v>
      </c>
      <c r="V24">
        <f t="shared" si="11"/>
        <v>0</v>
      </c>
      <c r="W24">
        <f t="shared" si="12"/>
        <v>0</v>
      </c>
    </row>
    <row r="25" spans="1:23" x14ac:dyDescent="0.25">
      <c r="A25" s="135">
        <v>45820</v>
      </c>
      <c r="B25" s="133">
        <f t="shared" si="3"/>
        <v>0</v>
      </c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1">
        <f t="shared" si="13"/>
        <v>38600</v>
      </c>
      <c r="N25">
        <f t="shared" si="14"/>
        <v>0.1</v>
      </c>
      <c r="O25">
        <f t="shared" si="4"/>
        <v>0</v>
      </c>
      <c r="P25">
        <f t="shared" si="5"/>
        <v>0</v>
      </c>
      <c r="Q25">
        <f t="shared" si="6"/>
        <v>0</v>
      </c>
      <c r="R25">
        <f t="shared" si="7"/>
        <v>0</v>
      </c>
      <c r="S25">
        <f t="shared" si="8"/>
        <v>0</v>
      </c>
      <c r="T25">
        <f t="shared" si="9"/>
        <v>0</v>
      </c>
      <c r="U25">
        <f t="shared" si="10"/>
        <v>0</v>
      </c>
      <c r="V25">
        <f t="shared" si="11"/>
        <v>0</v>
      </c>
      <c r="W25">
        <f t="shared" si="12"/>
        <v>0</v>
      </c>
    </row>
    <row r="26" spans="1:23" x14ac:dyDescent="0.25">
      <c r="A26" s="135">
        <v>45821</v>
      </c>
      <c r="B26" s="133">
        <f t="shared" si="3"/>
        <v>0</v>
      </c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1">
        <f t="shared" si="13"/>
        <v>38600</v>
      </c>
      <c r="N26">
        <f t="shared" si="14"/>
        <v>0.1</v>
      </c>
      <c r="O26">
        <f t="shared" si="4"/>
        <v>0</v>
      </c>
      <c r="P26">
        <f t="shared" si="5"/>
        <v>0</v>
      </c>
      <c r="Q26">
        <f t="shared" si="6"/>
        <v>0</v>
      </c>
      <c r="R26">
        <f t="shared" si="7"/>
        <v>0</v>
      </c>
      <c r="S26">
        <f t="shared" si="8"/>
        <v>0</v>
      </c>
      <c r="T26">
        <f t="shared" si="9"/>
        <v>0</v>
      </c>
      <c r="U26">
        <f t="shared" si="10"/>
        <v>0</v>
      </c>
      <c r="V26">
        <f t="shared" si="11"/>
        <v>0</v>
      </c>
      <c r="W26">
        <f t="shared" si="12"/>
        <v>0</v>
      </c>
    </row>
    <row r="27" spans="1:23" x14ac:dyDescent="0.25">
      <c r="A27" s="135">
        <v>45822</v>
      </c>
      <c r="B27" s="133">
        <f t="shared" si="3"/>
        <v>0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1">
        <f t="shared" si="13"/>
        <v>38600</v>
      </c>
      <c r="N27">
        <f t="shared" si="14"/>
        <v>0.1</v>
      </c>
      <c r="O27">
        <f t="shared" si="4"/>
        <v>0</v>
      </c>
      <c r="P27">
        <f t="shared" si="5"/>
        <v>0</v>
      </c>
      <c r="Q27">
        <f t="shared" si="6"/>
        <v>0</v>
      </c>
      <c r="R27">
        <f t="shared" si="7"/>
        <v>0</v>
      </c>
      <c r="S27">
        <f t="shared" si="8"/>
        <v>0</v>
      </c>
      <c r="T27">
        <f t="shared" si="9"/>
        <v>0</v>
      </c>
      <c r="U27">
        <f t="shared" si="10"/>
        <v>0</v>
      </c>
      <c r="V27">
        <f t="shared" si="11"/>
        <v>0</v>
      </c>
      <c r="W27">
        <f t="shared" si="12"/>
        <v>0</v>
      </c>
    </row>
    <row r="28" spans="1:23" x14ac:dyDescent="0.25">
      <c r="A28" s="135">
        <v>45823</v>
      </c>
      <c r="B28" s="133">
        <f t="shared" si="3"/>
        <v>0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1">
        <f t="shared" si="13"/>
        <v>38600</v>
      </c>
      <c r="N28">
        <f t="shared" si="14"/>
        <v>0.1</v>
      </c>
      <c r="O28">
        <f t="shared" si="4"/>
        <v>0</v>
      </c>
      <c r="P28">
        <f t="shared" si="5"/>
        <v>0</v>
      </c>
      <c r="Q28">
        <f t="shared" si="6"/>
        <v>0</v>
      </c>
      <c r="R28">
        <f t="shared" si="7"/>
        <v>0</v>
      </c>
      <c r="S28">
        <f t="shared" si="8"/>
        <v>0</v>
      </c>
      <c r="T28">
        <f t="shared" si="9"/>
        <v>0</v>
      </c>
      <c r="U28">
        <f t="shared" si="10"/>
        <v>0</v>
      </c>
      <c r="V28">
        <f t="shared" si="11"/>
        <v>0</v>
      </c>
      <c r="W28">
        <f t="shared" si="12"/>
        <v>0</v>
      </c>
    </row>
    <row r="29" spans="1:23" x14ac:dyDescent="0.25">
      <c r="A29" s="135">
        <v>45824</v>
      </c>
      <c r="B29" s="133">
        <f t="shared" si="3"/>
        <v>0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1">
        <f t="shared" si="13"/>
        <v>38600</v>
      </c>
      <c r="N29">
        <f t="shared" si="14"/>
        <v>0.1</v>
      </c>
      <c r="O29">
        <f t="shared" si="4"/>
        <v>0</v>
      </c>
      <c r="P29">
        <f t="shared" si="5"/>
        <v>0</v>
      </c>
      <c r="Q29">
        <f t="shared" si="6"/>
        <v>0</v>
      </c>
      <c r="R29">
        <f t="shared" si="7"/>
        <v>0</v>
      </c>
      <c r="S29">
        <f t="shared" si="8"/>
        <v>0</v>
      </c>
      <c r="T29">
        <f t="shared" si="9"/>
        <v>0</v>
      </c>
      <c r="U29">
        <f t="shared" si="10"/>
        <v>0</v>
      </c>
      <c r="V29">
        <f t="shared" si="11"/>
        <v>0</v>
      </c>
      <c r="W29">
        <f t="shared" si="12"/>
        <v>0</v>
      </c>
    </row>
    <row r="30" spans="1:23" x14ac:dyDescent="0.25">
      <c r="A30" s="135">
        <v>45825</v>
      </c>
      <c r="B30" s="133">
        <f t="shared" si="3"/>
        <v>0</v>
      </c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1">
        <f t="shared" si="13"/>
        <v>38600</v>
      </c>
      <c r="N30">
        <f t="shared" si="14"/>
        <v>0.1</v>
      </c>
      <c r="O30">
        <f t="shared" si="4"/>
        <v>0</v>
      </c>
      <c r="P30">
        <f t="shared" si="5"/>
        <v>0</v>
      </c>
      <c r="Q30">
        <f t="shared" si="6"/>
        <v>0</v>
      </c>
      <c r="R30">
        <f t="shared" si="7"/>
        <v>0</v>
      </c>
      <c r="S30">
        <f t="shared" si="8"/>
        <v>0</v>
      </c>
      <c r="T30">
        <f t="shared" si="9"/>
        <v>0</v>
      </c>
      <c r="U30">
        <f t="shared" si="10"/>
        <v>0</v>
      </c>
      <c r="V30">
        <f t="shared" si="11"/>
        <v>0</v>
      </c>
      <c r="W30">
        <f t="shared" si="12"/>
        <v>0</v>
      </c>
    </row>
    <row r="31" spans="1:23" x14ac:dyDescent="0.25">
      <c r="A31" s="135">
        <v>45826</v>
      </c>
      <c r="B31" s="133">
        <f t="shared" si="3"/>
        <v>0</v>
      </c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1">
        <f t="shared" si="13"/>
        <v>38600</v>
      </c>
      <c r="N31">
        <f t="shared" si="14"/>
        <v>0.1</v>
      </c>
      <c r="O31">
        <f t="shared" si="4"/>
        <v>0</v>
      </c>
      <c r="P31">
        <f t="shared" si="5"/>
        <v>0</v>
      </c>
      <c r="Q31">
        <f t="shared" si="6"/>
        <v>0</v>
      </c>
      <c r="R31">
        <f t="shared" si="7"/>
        <v>0</v>
      </c>
      <c r="S31">
        <f t="shared" si="8"/>
        <v>0</v>
      </c>
      <c r="T31">
        <f t="shared" si="9"/>
        <v>0</v>
      </c>
      <c r="U31">
        <f t="shared" si="10"/>
        <v>0</v>
      </c>
      <c r="V31">
        <f t="shared" si="11"/>
        <v>0</v>
      </c>
      <c r="W31">
        <f t="shared" si="12"/>
        <v>0</v>
      </c>
    </row>
    <row r="32" spans="1:23" x14ac:dyDescent="0.25">
      <c r="A32" s="135">
        <v>45827</v>
      </c>
      <c r="B32" s="133">
        <f t="shared" si="3"/>
        <v>0</v>
      </c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1">
        <f t="shared" si="13"/>
        <v>38600</v>
      </c>
      <c r="N32">
        <f t="shared" si="14"/>
        <v>0.1</v>
      </c>
      <c r="O32">
        <f t="shared" si="4"/>
        <v>0</v>
      </c>
      <c r="P32">
        <f t="shared" si="5"/>
        <v>0</v>
      </c>
      <c r="Q32">
        <f t="shared" si="6"/>
        <v>0</v>
      </c>
      <c r="R32">
        <f t="shared" si="7"/>
        <v>0</v>
      </c>
      <c r="S32">
        <f t="shared" si="8"/>
        <v>0</v>
      </c>
      <c r="T32">
        <f t="shared" si="9"/>
        <v>0</v>
      </c>
      <c r="U32">
        <f t="shared" si="10"/>
        <v>0</v>
      </c>
      <c r="V32">
        <f t="shared" si="11"/>
        <v>0</v>
      </c>
      <c r="W32">
        <f t="shared" si="12"/>
        <v>0</v>
      </c>
    </row>
    <row r="33" spans="1:23" x14ac:dyDescent="0.25">
      <c r="A33" s="135">
        <v>45828</v>
      </c>
      <c r="B33" s="133">
        <f t="shared" si="3"/>
        <v>0</v>
      </c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1">
        <f t="shared" si="13"/>
        <v>38600</v>
      </c>
      <c r="N33">
        <f t="shared" si="14"/>
        <v>0.1</v>
      </c>
      <c r="O33">
        <f t="shared" si="4"/>
        <v>0</v>
      </c>
      <c r="P33">
        <f t="shared" si="5"/>
        <v>0</v>
      </c>
      <c r="Q33">
        <f t="shared" si="6"/>
        <v>0</v>
      </c>
      <c r="R33">
        <f t="shared" si="7"/>
        <v>0</v>
      </c>
      <c r="S33">
        <f t="shared" si="8"/>
        <v>0</v>
      </c>
      <c r="T33">
        <f t="shared" si="9"/>
        <v>0</v>
      </c>
      <c r="U33">
        <f t="shared" si="10"/>
        <v>0</v>
      </c>
      <c r="V33">
        <f t="shared" si="11"/>
        <v>0</v>
      </c>
      <c r="W33">
        <f t="shared" si="12"/>
        <v>0</v>
      </c>
    </row>
    <row r="34" spans="1:23" x14ac:dyDescent="0.25">
      <c r="A34" s="135">
        <v>45829</v>
      </c>
      <c r="B34" s="133">
        <f t="shared" si="3"/>
        <v>0</v>
      </c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1">
        <f t="shared" si="13"/>
        <v>38600</v>
      </c>
      <c r="N34">
        <f t="shared" si="14"/>
        <v>0.1</v>
      </c>
      <c r="O34">
        <f t="shared" si="4"/>
        <v>0</v>
      </c>
      <c r="P34">
        <f t="shared" si="5"/>
        <v>0</v>
      </c>
      <c r="Q34">
        <f t="shared" si="6"/>
        <v>0</v>
      </c>
      <c r="R34">
        <f t="shared" si="7"/>
        <v>0</v>
      </c>
      <c r="S34">
        <f t="shared" si="8"/>
        <v>0</v>
      </c>
      <c r="T34">
        <f t="shared" si="9"/>
        <v>0</v>
      </c>
      <c r="U34">
        <f t="shared" si="10"/>
        <v>0</v>
      </c>
      <c r="V34">
        <f t="shared" si="11"/>
        <v>0</v>
      </c>
      <c r="W34">
        <f t="shared" si="12"/>
        <v>0</v>
      </c>
    </row>
    <row r="35" spans="1:23" x14ac:dyDescent="0.25">
      <c r="A35" s="135">
        <v>45830</v>
      </c>
      <c r="B35" s="133">
        <f t="shared" si="3"/>
        <v>0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1">
        <f t="shared" si="13"/>
        <v>38600</v>
      </c>
      <c r="N35">
        <f t="shared" si="14"/>
        <v>0.1</v>
      </c>
      <c r="O35">
        <f t="shared" si="4"/>
        <v>0</v>
      </c>
      <c r="P35">
        <f t="shared" si="5"/>
        <v>0</v>
      </c>
      <c r="Q35">
        <f t="shared" si="6"/>
        <v>0</v>
      </c>
      <c r="R35">
        <f t="shared" si="7"/>
        <v>0</v>
      </c>
      <c r="S35">
        <f t="shared" si="8"/>
        <v>0</v>
      </c>
      <c r="T35">
        <f t="shared" si="9"/>
        <v>0</v>
      </c>
      <c r="U35">
        <f t="shared" si="10"/>
        <v>0</v>
      </c>
      <c r="V35">
        <f t="shared" si="11"/>
        <v>0</v>
      </c>
      <c r="W35">
        <f t="shared" si="12"/>
        <v>0</v>
      </c>
    </row>
    <row r="36" spans="1:23" x14ac:dyDescent="0.25">
      <c r="A36" s="135">
        <v>45831</v>
      </c>
      <c r="B36" s="133">
        <f t="shared" si="3"/>
        <v>0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1">
        <f t="shared" si="13"/>
        <v>38600</v>
      </c>
      <c r="N36">
        <f t="shared" si="14"/>
        <v>0.1</v>
      </c>
      <c r="O36">
        <f t="shared" si="4"/>
        <v>0</v>
      </c>
      <c r="P36">
        <f t="shared" si="5"/>
        <v>0</v>
      </c>
      <c r="Q36">
        <f t="shared" si="6"/>
        <v>0</v>
      </c>
      <c r="R36">
        <f t="shared" si="7"/>
        <v>0</v>
      </c>
      <c r="S36">
        <f t="shared" si="8"/>
        <v>0</v>
      </c>
      <c r="T36">
        <f t="shared" si="9"/>
        <v>0</v>
      </c>
      <c r="U36">
        <f t="shared" si="10"/>
        <v>0</v>
      </c>
      <c r="V36">
        <f t="shared" si="11"/>
        <v>0</v>
      </c>
      <c r="W36">
        <f t="shared" si="12"/>
        <v>0</v>
      </c>
    </row>
    <row r="37" spans="1:23" x14ac:dyDescent="0.25">
      <c r="A37" s="135">
        <v>45832</v>
      </c>
      <c r="B37" s="133">
        <f t="shared" si="3"/>
        <v>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1">
        <f t="shared" si="13"/>
        <v>38600</v>
      </c>
      <c r="N37">
        <f t="shared" si="14"/>
        <v>0.1</v>
      </c>
      <c r="O37">
        <f t="shared" si="4"/>
        <v>0</v>
      </c>
      <c r="P37">
        <f t="shared" si="5"/>
        <v>0</v>
      </c>
      <c r="Q37">
        <f t="shared" si="6"/>
        <v>0</v>
      </c>
      <c r="R37">
        <f t="shared" si="7"/>
        <v>0</v>
      </c>
      <c r="S37">
        <f t="shared" si="8"/>
        <v>0</v>
      </c>
      <c r="T37">
        <f t="shared" si="9"/>
        <v>0</v>
      </c>
      <c r="U37">
        <f t="shared" si="10"/>
        <v>0</v>
      </c>
      <c r="V37">
        <f t="shared" si="11"/>
        <v>0</v>
      </c>
      <c r="W37">
        <f t="shared" si="12"/>
        <v>0</v>
      </c>
    </row>
    <row r="38" spans="1:23" x14ac:dyDescent="0.25">
      <c r="A38" s="135">
        <v>45833</v>
      </c>
      <c r="B38" s="133">
        <f t="shared" si="3"/>
        <v>0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1">
        <f t="shared" si="13"/>
        <v>38600</v>
      </c>
      <c r="N38">
        <f t="shared" si="14"/>
        <v>0.1</v>
      </c>
      <c r="O38">
        <f t="shared" si="4"/>
        <v>0</v>
      </c>
      <c r="P38">
        <f t="shared" si="5"/>
        <v>0</v>
      </c>
      <c r="Q38">
        <f t="shared" si="6"/>
        <v>0</v>
      </c>
      <c r="R38">
        <f t="shared" si="7"/>
        <v>0</v>
      </c>
      <c r="S38">
        <f t="shared" si="8"/>
        <v>0</v>
      </c>
      <c r="T38">
        <f t="shared" si="9"/>
        <v>0</v>
      </c>
      <c r="U38">
        <f t="shared" si="10"/>
        <v>0</v>
      </c>
      <c r="V38">
        <f t="shared" si="11"/>
        <v>0</v>
      </c>
      <c r="W38">
        <f t="shared" si="12"/>
        <v>0</v>
      </c>
    </row>
    <row r="39" spans="1:23" x14ac:dyDescent="0.25">
      <c r="A39" s="135">
        <v>45834</v>
      </c>
      <c r="B39" s="133">
        <f t="shared" si="3"/>
        <v>0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1">
        <f t="shared" si="13"/>
        <v>38600</v>
      </c>
      <c r="N39">
        <f t="shared" si="14"/>
        <v>0.1</v>
      </c>
      <c r="O39">
        <f t="shared" si="4"/>
        <v>0</v>
      </c>
      <c r="P39">
        <f t="shared" si="5"/>
        <v>0</v>
      </c>
      <c r="Q39">
        <f t="shared" si="6"/>
        <v>0</v>
      </c>
      <c r="R39">
        <f t="shared" si="7"/>
        <v>0</v>
      </c>
      <c r="S39">
        <f t="shared" si="8"/>
        <v>0</v>
      </c>
      <c r="T39">
        <f t="shared" si="9"/>
        <v>0</v>
      </c>
      <c r="U39">
        <f t="shared" si="10"/>
        <v>0</v>
      </c>
      <c r="V39">
        <f t="shared" si="11"/>
        <v>0</v>
      </c>
      <c r="W39">
        <f t="shared" si="12"/>
        <v>0</v>
      </c>
    </row>
    <row r="40" spans="1:23" x14ac:dyDescent="0.25">
      <c r="A40" s="135">
        <v>45835</v>
      </c>
      <c r="B40" s="133">
        <f t="shared" si="3"/>
        <v>0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1">
        <f t="shared" si="13"/>
        <v>38600</v>
      </c>
      <c r="N40">
        <f t="shared" si="14"/>
        <v>0.1</v>
      </c>
      <c r="O40">
        <f t="shared" si="4"/>
        <v>0</v>
      </c>
      <c r="P40">
        <f t="shared" si="5"/>
        <v>0</v>
      </c>
      <c r="Q40">
        <f t="shared" si="6"/>
        <v>0</v>
      </c>
      <c r="R40">
        <f t="shared" si="7"/>
        <v>0</v>
      </c>
      <c r="S40">
        <f t="shared" si="8"/>
        <v>0</v>
      </c>
      <c r="T40">
        <f t="shared" si="9"/>
        <v>0</v>
      </c>
      <c r="U40">
        <f t="shared" si="10"/>
        <v>0</v>
      </c>
      <c r="V40">
        <f t="shared" si="11"/>
        <v>0</v>
      </c>
      <c r="W40">
        <f t="shared" si="12"/>
        <v>0</v>
      </c>
    </row>
    <row r="41" spans="1:23" x14ac:dyDescent="0.25">
      <c r="A41" s="135">
        <v>45836</v>
      </c>
      <c r="B41" s="133">
        <f t="shared" si="3"/>
        <v>0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1">
        <f t="shared" si="13"/>
        <v>38600</v>
      </c>
      <c r="N41">
        <f t="shared" si="14"/>
        <v>0.1</v>
      </c>
      <c r="O41">
        <f t="shared" si="4"/>
        <v>0</v>
      </c>
      <c r="P41">
        <f t="shared" si="5"/>
        <v>0</v>
      </c>
      <c r="Q41">
        <f t="shared" si="6"/>
        <v>0</v>
      </c>
      <c r="R41">
        <f t="shared" si="7"/>
        <v>0</v>
      </c>
      <c r="S41">
        <f t="shared" si="8"/>
        <v>0</v>
      </c>
      <c r="T41">
        <f t="shared" si="9"/>
        <v>0</v>
      </c>
      <c r="U41">
        <f t="shared" si="10"/>
        <v>0</v>
      </c>
      <c r="V41">
        <f t="shared" si="11"/>
        <v>0</v>
      </c>
      <c r="W41">
        <f t="shared" si="12"/>
        <v>0</v>
      </c>
    </row>
    <row r="42" spans="1:23" x14ac:dyDescent="0.25">
      <c r="A42" s="135">
        <v>45837</v>
      </c>
      <c r="B42" s="133">
        <f t="shared" si="3"/>
        <v>0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1">
        <f t="shared" si="13"/>
        <v>38600</v>
      </c>
      <c r="N42">
        <f t="shared" si="14"/>
        <v>0.1</v>
      </c>
      <c r="O42">
        <f t="shared" si="4"/>
        <v>0</v>
      </c>
      <c r="P42">
        <f t="shared" si="5"/>
        <v>0</v>
      </c>
      <c r="Q42">
        <f t="shared" si="6"/>
        <v>0</v>
      </c>
      <c r="R42">
        <f t="shared" si="7"/>
        <v>0</v>
      </c>
      <c r="S42">
        <f t="shared" si="8"/>
        <v>0</v>
      </c>
      <c r="T42">
        <f t="shared" si="9"/>
        <v>0</v>
      </c>
      <c r="U42">
        <f t="shared" si="10"/>
        <v>0</v>
      </c>
      <c r="V42">
        <f t="shared" si="11"/>
        <v>0</v>
      </c>
      <c r="W42">
        <f t="shared" si="12"/>
        <v>0</v>
      </c>
    </row>
    <row r="43" spans="1:23" x14ac:dyDescent="0.25">
      <c r="A43" s="135">
        <v>45838</v>
      </c>
      <c r="B43" s="133">
        <f t="shared" si="3"/>
        <v>0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1">
        <f t="shared" si="13"/>
        <v>38600</v>
      </c>
      <c r="N43">
        <f t="shared" si="14"/>
        <v>0.1</v>
      </c>
      <c r="O43">
        <f t="shared" si="4"/>
        <v>0</v>
      </c>
      <c r="P43">
        <f t="shared" si="5"/>
        <v>0</v>
      </c>
      <c r="Q43">
        <f t="shared" si="6"/>
        <v>0</v>
      </c>
      <c r="R43">
        <f t="shared" si="7"/>
        <v>0</v>
      </c>
      <c r="S43">
        <f t="shared" si="8"/>
        <v>0</v>
      </c>
      <c r="T43">
        <f t="shared" si="9"/>
        <v>0</v>
      </c>
      <c r="U43">
        <f t="shared" si="10"/>
        <v>0</v>
      </c>
      <c r="V43">
        <f t="shared" si="11"/>
        <v>0</v>
      </c>
      <c r="W43">
        <f t="shared" si="12"/>
        <v>0</v>
      </c>
    </row>
    <row r="44" spans="1:23" x14ac:dyDescent="0.25">
      <c r="A44" s="135">
        <v>45839</v>
      </c>
      <c r="B44" s="133">
        <f t="shared" si="3"/>
        <v>0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1">
        <f t="shared" si="13"/>
        <v>38600</v>
      </c>
      <c r="N44">
        <f t="shared" si="14"/>
        <v>0.1</v>
      </c>
      <c r="O44">
        <f t="shared" si="4"/>
        <v>0</v>
      </c>
      <c r="P44">
        <f t="shared" si="5"/>
        <v>0</v>
      </c>
      <c r="Q44">
        <f t="shared" si="6"/>
        <v>0</v>
      </c>
      <c r="R44">
        <f t="shared" si="7"/>
        <v>0</v>
      </c>
      <c r="S44">
        <f t="shared" si="8"/>
        <v>0</v>
      </c>
      <c r="T44">
        <f t="shared" si="9"/>
        <v>0</v>
      </c>
      <c r="U44">
        <f t="shared" si="10"/>
        <v>0</v>
      </c>
      <c r="V44">
        <f t="shared" si="11"/>
        <v>0</v>
      </c>
      <c r="W44">
        <f t="shared" si="12"/>
        <v>0</v>
      </c>
    </row>
    <row r="45" spans="1:23" x14ac:dyDescent="0.25">
      <c r="A45" s="135">
        <v>45840</v>
      </c>
      <c r="B45" s="133">
        <f t="shared" si="3"/>
        <v>0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1">
        <f t="shared" si="13"/>
        <v>38600</v>
      </c>
      <c r="N45">
        <f t="shared" si="14"/>
        <v>0.1</v>
      </c>
      <c r="O45">
        <f t="shared" si="4"/>
        <v>0</v>
      </c>
      <c r="P45">
        <f t="shared" si="5"/>
        <v>0</v>
      </c>
      <c r="Q45">
        <f t="shared" si="6"/>
        <v>0</v>
      </c>
      <c r="R45">
        <f t="shared" si="7"/>
        <v>0</v>
      </c>
      <c r="S45">
        <f t="shared" si="8"/>
        <v>0</v>
      </c>
      <c r="T45">
        <f t="shared" si="9"/>
        <v>0</v>
      </c>
      <c r="U45">
        <f t="shared" si="10"/>
        <v>0</v>
      </c>
      <c r="V45">
        <f t="shared" si="11"/>
        <v>0</v>
      </c>
      <c r="W45">
        <f t="shared" si="12"/>
        <v>0</v>
      </c>
    </row>
    <row r="46" spans="1:23" x14ac:dyDescent="0.25">
      <c r="A46" s="135">
        <v>45841</v>
      </c>
      <c r="B46" s="133">
        <f t="shared" si="3"/>
        <v>0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1">
        <f t="shared" si="13"/>
        <v>38600</v>
      </c>
      <c r="N46">
        <f t="shared" si="14"/>
        <v>0.1</v>
      </c>
      <c r="O46">
        <f t="shared" si="4"/>
        <v>0</v>
      </c>
      <c r="P46">
        <f t="shared" si="5"/>
        <v>0</v>
      </c>
      <c r="Q46">
        <f t="shared" si="6"/>
        <v>0</v>
      </c>
      <c r="R46">
        <f t="shared" si="7"/>
        <v>0</v>
      </c>
      <c r="S46">
        <f t="shared" si="8"/>
        <v>0</v>
      </c>
      <c r="T46">
        <f t="shared" si="9"/>
        <v>0</v>
      </c>
      <c r="U46">
        <f t="shared" si="10"/>
        <v>0</v>
      </c>
      <c r="V46">
        <f t="shared" si="11"/>
        <v>0</v>
      </c>
      <c r="W46">
        <f t="shared" si="12"/>
        <v>0</v>
      </c>
    </row>
    <row r="47" spans="1:23" x14ac:dyDescent="0.25">
      <c r="A47" s="135">
        <v>45842</v>
      </c>
      <c r="B47" s="133">
        <f t="shared" si="3"/>
        <v>0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1">
        <f t="shared" si="13"/>
        <v>38600</v>
      </c>
      <c r="N47">
        <f t="shared" si="14"/>
        <v>0.1</v>
      </c>
      <c r="O47">
        <f t="shared" si="4"/>
        <v>0</v>
      </c>
      <c r="P47">
        <f t="shared" si="5"/>
        <v>0</v>
      </c>
      <c r="Q47">
        <f t="shared" si="6"/>
        <v>0</v>
      </c>
      <c r="R47">
        <f t="shared" si="7"/>
        <v>0</v>
      </c>
      <c r="S47">
        <f t="shared" si="8"/>
        <v>0</v>
      </c>
      <c r="T47">
        <f t="shared" si="9"/>
        <v>0</v>
      </c>
      <c r="U47">
        <f t="shared" si="10"/>
        <v>0</v>
      </c>
      <c r="V47">
        <f t="shared" si="11"/>
        <v>0</v>
      </c>
      <c r="W47">
        <f t="shared" si="12"/>
        <v>0</v>
      </c>
    </row>
    <row r="48" spans="1:23" x14ac:dyDescent="0.25">
      <c r="A48" s="135">
        <v>45843</v>
      </c>
      <c r="B48" s="133">
        <f t="shared" si="3"/>
        <v>0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1">
        <f t="shared" si="13"/>
        <v>38600</v>
      </c>
      <c r="N48">
        <f t="shared" si="14"/>
        <v>0.1</v>
      </c>
      <c r="O48">
        <f t="shared" si="4"/>
        <v>0</v>
      </c>
      <c r="P48">
        <f t="shared" si="5"/>
        <v>0</v>
      </c>
      <c r="Q48">
        <f t="shared" si="6"/>
        <v>0</v>
      </c>
      <c r="R48">
        <f t="shared" si="7"/>
        <v>0</v>
      </c>
      <c r="S48">
        <f t="shared" si="8"/>
        <v>0</v>
      </c>
      <c r="T48">
        <f t="shared" si="9"/>
        <v>0</v>
      </c>
      <c r="U48">
        <f t="shared" si="10"/>
        <v>0</v>
      </c>
      <c r="V48">
        <f t="shared" si="11"/>
        <v>0</v>
      </c>
      <c r="W48">
        <f t="shared" si="12"/>
        <v>0</v>
      </c>
    </row>
    <row r="49" spans="1:23" x14ac:dyDescent="0.25">
      <c r="A49" s="135">
        <v>45844</v>
      </c>
      <c r="B49" s="133">
        <f t="shared" si="3"/>
        <v>0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1">
        <f t="shared" si="13"/>
        <v>38600</v>
      </c>
      <c r="N49">
        <f t="shared" si="14"/>
        <v>0.1</v>
      </c>
      <c r="O49">
        <f t="shared" si="4"/>
        <v>0</v>
      </c>
      <c r="P49">
        <f t="shared" si="5"/>
        <v>0</v>
      </c>
      <c r="Q49">
        <f t="shared" si="6"/>
        <v>0</v>
      </c>
      <c r="R49">
        <f t="shared" si="7"/>
        <v>0</v>
      </c>
      <c r="S49">
        <f t="shared" si="8"/>
        <v>0</v>
      </c>
      <c r="T49">
        <f t="shared" si="9"/>
        <v>0</v>
      </c>
      <c r="U49">
        <f t="shared" si="10"/>
        <v>0</v>
      </c>
      <c r="V49">
        <f t="shared" si="11"/>
        <v>0</v>
      </c>
      <c r="W49">
        <f t="shared" si="12"/>
        <v>0</v>
      </c>
    </row>
    <row r="50" spans="1:23" x14ac:dyDescent="0.25">
      <c r="A50" s="135">
        <v>45845</v>
      </c>
      <c r="B50" s="133">
        <f t="shared" si="3"/>
        <v>0</v>
      </c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1">
        <f t="shared" si="13"/>
        <v>38600</v>
      </c>
      <c r="N50">
        <f t="shared" si="14"/>
        <v>0.1</v>
      </c>
      <c r="O50">
        <f t="shared" si="4"/>
        <v>0</v>
      </c>
      <c r="P50">
        <f t="shared" si="5"/>
        <v>0</v>
      </c>
      <c r="Q50">
        <f t="shared" si="6"/>
        <v>0</v>
      </c>
      <c r="R50">
        <f t="shared" si="7"/>
        <v>0</v>
      </c>
      <c r="S50">
        <f t="shared" si="8"/>
        <v>0</v>
      </c>
      <c r="T50">
        <f t="shared" si="9"/>
        <v>0</v>
      </c>
      <c r="U50">
        <f t="shared" si="10"/>
        <v>0</v>
      </c>
      <c r="V50">
        <f t="shared" si="11"/>
        <v>0</v>
      </c>
      <c r="W50">
        <f t="shared" si="12"/>
        <v>0</v>
      </c>
    </row>
    <row r="51" spans="1:23" x14ac:dyDescent="0.25">
      <c r="A51" s="135">
        <v>45846</v>
      </c>
      <c r="B51" s="133">
        <f t="shared" si="3"/>
        <v>0</v>
      </c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1">
        <f t="shared" si="13"/>
        <v>38600</v>
      </c>
      <c r="N51">
        <f t="shared" si="14"/>
        <v>0.1</v>
      </c>
      <c r="O51">
        <f t="shared" si="4"/>
        <v>0</v>
      </c>
      <c r="P51">
        <f t="shared" si="5"/>
        <v>0</v>
      </c>
      <c r="Q51">
        <f t="shared" si="6"/>
        <v>0</v>
      </c>
      <c r="R51">
        <f t="shared" si="7"/>
        <v>0</v>
      </c>
      <c r="S51">
        <f t="shared" si="8"/>
        <v>0</v>
      </c>
      <c r="T51">
        <f t="shared" si="9"/>
        <v>0</v>
      </c>
      <c r="U51">
        <f t="shared" si="10"/>
        <v>0</v>
      </c>
      <c r="V51">
        <f t="shared" si="11"/>
        <v>0</v>
      </c>
      <c r="W51">
        <f t="shared" si="12"/>
        <v>0</v>
      </c>
    </row>
    <row r="52" spans="1:23" x14ac:dyDescent="0.25">
      <c r="A52" s="135">
        <v>45847</v>
      </c>
      <c r="B52" s="133">
        <f t="shared" si="3"/>
        <v>0</v>
      </c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1">
        <f t="shared" si="13"/>
        <v>38600</v>
      </c>
      <c r="N52">
        <f t="shared" si="14"/>
        <v>0.1</v>
      </c>
      <c r="O52">
        <f t="shared" si="4"/>
        <v>0</v>
      </c>
      <c r="P52">
        <f t="shared" si="5"/>
        <v>0</v>
      </c>
      <c r="Q52">
        <f t="shared" si="6"/>
        <v>0</v>
      </c>
      <c r="R52">
        <f t="shared" si="7"/>
        <v>0</v>
      </c>
      <c r="S52">
        <f t="shared" si="8"/>
        <v>0</v>
      </c>
      <c r="T52">
        <f t="shared" si="9"/>
        <v>0</v>
      </c>
      <c r="U52">
        <f t="shared" si="10"/>
        <v>0</v>
      </c>
      <c r="V52">
        <f t="shared" si="11"/>
        <v>0</v>
      </c>
      <c r="W52">
        <f t="shared" si="12"/>
        <v>0</v>
      </c>
    </row>
    <row r="53" spans="1:23" x14ac:dyDescent="0.25">
      <c r="A53" s="135">
        <v>45848</v>
      </c>
      <c r="B53" s="133">
        <f t="shared" si="3"/>
        <v>0</v>
      </c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1">
        <f t="shared" si="13"/>
        <v>38600</v>
      </c>
      <c r="N53">
        <f t="shared" si="14"/>
        <v>0.1</v>
      </c>
      <c r="O53">
        <f t="shared" si="4"/>
        <v>0</v>
      </c>
      <c r="P53">
        <f t="shared" si="5"/>
        <v>0</v>
      </c>
      <c r="Q53">
        <f t="shared" si="6"/>
        <v>0</v>
      </c>
      <c r="R53">
        <f t="shared" si="7"/>
        <v>0</v>
      </c>
      <c r="S53">
        <f t="shared" si="8"/>
        <v>0</v>
      </c>
      <c r="T53">
        <f t="shared" si="9"/>
        <v>0</v>
      </c>
      <c r="U53">
        <f t="shared" si="10"/>
        <v>0</v>
      </c>
      <c r="V53">
        <f t="shared" si="11"/>
        <v>0</v>
      </c>
      <c r="W53">
        <f t="shared" si="12"/>
        <v>0</v>
      </c>
    </row>
    <row r="54" spans="1:23" x14ac:dyDescent="0.25">
      <c r="A54" s="135">
        <v>45849</v>
      </c>
      <c r="B54" s="133">
        <f t="shared" si="3"/>
        <v>0</v>
      </c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1">
        <f t="shared" si="13"/>
        <v>38600</v>
      </c>
      <c r="N54">
        <f t="shared" si="14"/>
        <v>0.1</v>
      </c>
      <c r="O54">
        <f t="shared" si="4"/>
        <v>0</v>
      </c>
      <c r="P54">
        <f t="shared" si="5"/>
        <v>0</v>
      </c>
      <c r="Q54">
        <f t="shared" si="6"/>
        <v>0</v>
      </c>
      <c r="R54">
        <f t="shared" si="7"/>
        <v>0</v>
      </c>
      <c r="S54">
        <f t="shared" si="8"/>
        <v>0</v>
      </c>
      <c r="T54">
        <f t="shared" si="9"/>
        <v>0</v>
      </c>
      <c r="U54">
        <f t="shared" si="10"/>
        <v>0</v>
      </c>
      <c r="V54">
        <f t="shared" si="11"/>
        <v>0</v>
      </c>
      <c r="W54">
        <f t="shared" si="12"/>
        <v>0</v>
      </c>
    </row>
    <row r="55" spans="1:23" x14ac:dyDescent="0.25">
      <c r="A55" s="135">
        <v>45850</v>
      </c>
      <c r="B55" s="133">
        <f t="shared" si="3"/>
        <v>0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1">
        <f t="shared" si="13"/>
        <v>38600</v>
      </c>
      <c r="N55">
        <f t="shared" si="14"/>
        <v>0.1</v>
      </c>
      <c r="O55">
        <f t="shared" si="4"/>
        <v>0</v>
      </c>
      <c r="P55">
        <f t="shared" si="5"/>
        <v>0</v>
      </c>
      <c r="Q55">
        <f t="shared" si="6"/>
        <v>0</v>
      </c>
      <c r="R55">
        <f t="shared" si="7"/>
        <v>0</v>
      </c>
      <c r="S55">
        <f t="shared" si="8"/>
        <v>0</v>
      </c>
      <c r="T55">
        <f t="shared" si="9"/>
        <v>0</v>
      </c>
      <c r="U55">
        <f t="shared" si="10"/>
        <v>0</v>
      </c>
      <c r="V55">
        <f t="shared" si="11"/>
        <v>0</v>
      </c>
      <c r="W55">
        <f t="shared" si="12"/>
        <v>0</v>
      </c>
    </row>
    <row r="56" spans="1:23" x14ac:dyDescent="0.25">
      <c r="A56" s="135">
        <v>45851</v>
      </c>
      <c r="B56" s="133">
        <f t="shared" si="3"/>
        <v>0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1">
        <f t="shared" si="13"/>
        <v>38600</v>
      </c>
      <c r="N56">
        <f t="shared" si="14"/>
        <v>0.1</v>
      </c>
      <c r="O56">
        <f t="shared" si="4"/>
        <v>0</v>
      </c>
      <c r="P56">
        <f t="shared" si="5"/>
        <v>0</v>
      </c>
      <c r="Q56">
        <f t="shared" si="6"/>
        <v>0</v>
      </c>
      <c r="R56">
        <f t="shared" si="7"/>
        <v>0</v>
      </c>
      <c r="S56">
        <f t="shared" si="8"/>
        <v>0</v>
      </c>
      <c r="T56">
        <f t="shared" si="9"/>
        <v>0</v>
      </c>
      <c r="U56">
        <f t="shared" si="10"/>
        <v>0</v>
      </c>
      <c r="V56">
        <f t="shared" si="11"/>
        <v>0</v>
      </c>
      <c r="W56">
        <f t="shared" si="12"/>
        <v>0</v>
      </c>
    </row>
    <row r="57" spans="1:23" x14ac:dyDescent="0.25">
      <c r="A57" s="135">
        <v>45852</v>
      </c>
      <c r="B57" s="133">
        <f t="shared" si="3"/>
        <v>0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1">
        <f t="shared" si="13"/>
        <v>38600</v>
      </c>
      <c r="N57">
        <f t="shared" si="14"/>
        <v>0.1</v>
      </c>
      <c r="O57">
        <f t="shared" si="4"/>
        <v>0</v>
      </c>
      <c r="P57">
        <f t="shared" si="5"/>
        <v>0</v>
      </c>
      <c r="Q57">
        <f t="shared" si="6"/>
        <v>0</v>
      </c>
      <c r="R57">
        <f t="shared" si="7"/>
        <v>0</v>
      </c>
      <c r="S57">
        <f t="shared" si="8"/>
        <v>0</v>
      </c>
      <c r="T57">
        <f t="shared" si="9"/>
        <v>0</v>
      </c>
      <c r="U57">
        <f t="shared" si="10"/>
        <v>0</v>
      </c>
      <c r="V57">
        <f t="shared" si="11"/>
        <v>0</v>
      </c>
      <c r="W57">
        <f t="shared" si="12"/>
        <v>0</v>
      </c>
    </row>
    <row r="58" spans="1:23" x14ac:dyDescent="0.25">
      <c r="A58" s="135">
        <v>45853</v>
      </c>
      <c r="B58" s="133">
        <f t="shared" si="3"/>
        <v>0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1">
        <f t="shared" si="13"/>
        <v>38600</v>
      </c>
      <c r="N58">
        <f t="shared" si="14"/>
        <v>0.1</v>
      </c>
      <c r="O58">
        <f t="shared" si="4"/>
        <v>0</v>
      </c>
      <c r="P58">
        <f t="shared" si="5"/>
        <v>0</v>
      </c>
      <c r="Q58">
        <f t="shared" si="6"/>
        <v>0</v>
      </c>
      <c r="R58">
        <f t="shared" si="7"/>
        <v>0</v>
      </c>
      <c r="S58">
        <f t="shared" si="8"/>
        <v>0</v>
      </c>
      <c r="T58">
        <f t="shared" si="9"/>
        <v>0</v>
      </c>
      <c r="U58">
        <f t="shared" si="10"/>
        <v>0</v>
      </c>
      <c r="V58">
        <f t="shared" si="11"/>
        <v>0</v>
      </c>
      <c r="W58">
        <f t="shared" si="12"/>
        <v>0</v>
      </c>
    </row>
    <row r="59" spans="1:23" x14ac:dyDescent="0.25">
      <c r="A59" s="135">
        <v>45854</v>
      </c>
      <c r="B59" s="133">
        <f t="shared" si="3"/>
        <v>0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1">
        <f t="shared" si="13"/>
        <v>38600</v>
      </c>
      <c r="N59">
        <f t="shared" si="14"/>
        <v>0.1</v>
      </c>
      <c r="O59">
        <f t="shared" si="4"/>
        <v>0</v>
      </c>
      <c r="P59">
        <f t="shared" si="5"/>
        <v>0</v>
      </c>
      <c r="Q59">
        <f t="shared" si="6"/>
        <v>0</v>
      </c>
      <c r="R59">
        <f t="shared" si="7"/>
        <v>0</v>
      </c>
      <c r="S59">
        <f t="shared" si="8"/>
        <v>0</v>
      </c>
      <c r="T59">
        <f t="shared" si="9"/>
        <v>0</v>
      </c>
      <c r="U59">
        <f t="shared" si="10"/>
        <v>0</v>
      </c>
      <c r="V59">
        <f t="shared" si="11"/>
        <v>0</v>
      </c>
      <c r="W59">
        <f t="shared" si="12"/>
        <v>0</v>
      </c>
    </row>
    <row r="60" spans="1:23" x14ac:dyDescent="0.25">
      <c r="A60" s="135">
        <v>45855</v>
      </c>
      <c r="B60" s="133">
        <f t="shared" si="3"/>
        <v>0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1">
        <f t="shared" si="13"/>
        <v>38600</v>
      </c>
      <c r="N60">
        <f t="shared" si="14"/>
        <v>0.1</v>
      </c>
      <c r="O60">
        <f t="shared" si="4"/>
        <v>0</v>
      </c>
      <c r="P60">
        <f t="shared" si="5"/>
        <v>0</v>
      </c>
      <c r="Q60">
        <f t="shared" si="6"/>
        <v>0</v>
      </c>
      <c r="R60">
        <f t="shared" si="7"/>
        <v>0</v>
      </c>
      <c r="S60">
        <f t="shared" si="8"/>
        <v>0</v>
      </c>
      <c r="T60">
        <f t="shared" si="9"/>
        <v>0</v>
      </c>
      <c r="U60">
        <f t="shared" si="10"/>
        <v>0</v>
      </c>
      <c r="V60">
        <f t="shared" si="11"/>
        <v>0</v>
      </c>
      <c r="W60">
        <f t="shared" si="12"/>
        <v>0</v>
      </c>
    </row>
    <row r="61" spans="1:23" x14ac:dyDescent="0.25">
      <c r="A61" s="135">
        <v>45856</v>
      </c>
      <c r="B61" s="133">
        <f t="shared" si="3"/>
        <v>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1">
        <f t="shared" si="13"/>
        <v>38600</v>
      </c>
      <c r="N61">
        <f t="shared" si="14"/>
        <v>0.1</v>
      </c>
      <c r="O61">
        <f t="shared" si="4"/>
        <v>0</v>
      </c>
      <c r="P61">
        <f t="shared" si="5"/>
        <v>0</v>
      </c>
      <c r="Q61">
        <f t="shared" si="6"/>
        <v>0</v>
      </c>
      <c r="R61">
        <f t="shared" si="7"/>
        <v>0</v>
      </c>
      <c r="S61">
        <f t="shared" si="8"/>
        <v>0</v>
      </c>
      <c r="T61">
        <f t="shared" si="9"/>
        <v>0</v>
      </c>
      <c r="U61">
        <f t="shared" si="10"/>
        <v>0</v>
      </c>
      <c r="V61">
        <f t="shared" si="11"/>
        <v>0</v>
      </c>
      <c r="W61">
        <f t="shared" si="12"/>
        <v>0</v>
      </c>
    </row>
    <row r="62" spans="1:23" x14ac:dyDescent="0.25">
      <c r="A62" s="135">
        <v>45857</v>
      </c>
      <c r="B62" s="133">
        <f t="shared" si="3"/>
        <v>0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1">
        <f t="shared" si="13"/>
        <v>38600</v>
      </c>
      <c r="N62">
        <f t="shared" si="14"/>
        <v>0.1</v>
      </c>
      <c r="O62">
        <f t="shared" si="4"/>
        <v>0</v>
      </c>
      <c r="P62">
        <f t="shared" si="5"/>
        <v>0</v>
      </c>
      <c r="Q62">
        <f t="shared" si="6"/>
        <v>0</v>
      </c>
      <c r="R62">
        <f t="shared" si="7"/>
        <v>0</v>
      </c>
      <c r="S62">
        <f t="shared" si="8"/>
        <v>0</v>
      </c>
      <c r="T62">
        <f t="shared" si="9"/>
        <v>0</v>
      </c>
      <c r="U62">
        <f t="shared" si="10"/>
        <v>0</v>
      </c>
      <c r="V62">
        <f t="shared" si="11"/>
        <v>0</v>
      </c>
      <c r="W62">
        <f t="shared" si="12"/>
        <v>0</v>
      </c>
    </row>
    <row r="63" spans="1:23" x14ac:dyDescent="0.25">
      <c r="A63" s="135">
        <v>45858</v>
      </c>
      <c r="B63" s="133">
        <f t="shared" si="3"/>
        <v>0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1">
        <f t="shared" si="13"/>
        <v>38600</v>
      </c>
      <c r="N63">
        <f t="shared" si="14"/>
        <v>0.1</v>
      </c>
      <c r="O63">
        <f t="shared" si="4"/>
        <v>0</v>
      </c>
      <c r="P63">
        <f t="shared" si="5"/>
        <v>0</v>
      </c>
      <c r="Q63">
        <f t="shared" si="6"/>
        <v>0</v>
      </c>
      <c r="R63">
        <f t="shared" si="7"/>
        <v>0</v>
      </c>
      <c r="S63">
        <f t="shared" si="8"/>
        <v>0</v>
      </c>
      <c r="T63">
        <f t="shared" si="9"/>
        <v>0</v>
      </c>
      <c r="U63">
        <f t="shared" si="10"/>
        <v>0</v>
      </c>
      <c r="V63">
        <f t="shared" si="11"/>
        <v>0</v>
      </c>
      <c r="W63">
        <f t="shared" si="12"/>
        <v>0</v>
      </c>
    </row>
    <row r="64" spans="1:23" x14ac:dyDescent="0.25">
      <c r="A64" s="135">
        <v>45859</v>
      </c>
      <c r="B64" s="133">
        <f t="shared" si="3"/>
        <v>0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1">
        <f t="shared" si="13"/>
        <v>38600</v>
      </c>
      <c r="N64">
        <f t="shared" si="14"/>
        <v>0.1</v>
      </c>
      <c r="O64">
        <f t="shared" si="4"/>
        <v>0</v>
      </c>
      <c r="P64">
        <f t="shared" si="5"/>
        <v>0</v>
      </c>
      <c r="Q64">
        <f t="shared" si="6"/>
        <v>0</v>
      </c>
      <c r="R64">
        <f t="shared" si="7"/>
        <v>0</v>
      </c>
      <c r="S64">
        <f t="shared" si="8"/>
        <v>0</v>
      </c>
      <c r="T64">
        <f t="shared" si="9"/>
        <v>0</v>
      </c>
      <c r="U64">
        <f t="shared" si="10"/>
        <v>0</v>
      </c>
      <c r="V64">
        <f t="shared" si="11"/>
        <v>0</v>
      </c>
      <c r="W64">
        <f t="shared" si="12"/>
        <v>0</v>
      </c>
    </row>
    <row r="65" spans="1:23" x14ac:dyDescent="0.25">
      <c r="A65" s="135">
        <v>45860</v>
      </c>
      <c r="B65" s="133">
        <f t="shared" si="3"/>
        <v>0</v>
      </c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1">
        <f t="shared" si="13"/>
        <v>38600</v>
      </c>
      <c r="N65">
        <f t="shared" si="14"/>
        <v>0.1</v>
      </c>
      <c r="O65">
        <f t="shared" si="4"/>
        <v>0</v>
      </c>
      <c r="P65">
        <f t="shared" si="5"/>
        <v>0</v>
      </c>
      <c r="Q65">
        <f t="shared" si="6"/>
        <v>0</v>
      </c>
      <c r="R65">
        <f t="shared" si="7"/>
        <v>0</v>
      </c>
      <c r="S65">
        <f t="shared" si="8"/>
        <v>0</v>
      </c>
      <c r="T65">
        <f t="shared" si="9"/>
        <v>0</v>
      </c>
      <c r="U65">
        <f t="shared" si="10"/>
        <v>0</v>
      </c>
      <c r="V65">
        <f t="shared" si="11"/>
        <v>0</v>
      </c>
      <c r="W65">
        <f t="shared" si="12"/>
        <v>0</v>
      </c>
    </row>
    <row r="66" spans="1:23" x14ac:dyDescent="0.25">
      <c r="A66" s="135">
        <v>45861</v>
      </c>
      <c r="B66" s="133">
        <f t="shared" si="3"/>
        <v>0</v>
      </c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1">
        <f t="shared" si="13"/>
        <v>38600</v>
      </c>
      <c r="N66">
        <f t="shared" si="14"/>
        <v>0.1</v>
      </c>
      <c r="O66">
        <f t="shared" si="4"/>
        <v>0</v>
      </c>
      <c r="P66">
        <f t="shared" si="5"/>
        <v>0</v>
      </c>
      <c r="Q66">
        <f t="shared" si="6"/>
        <v>0</v>
      </c>
      <c r="R66">
        <f t="shared" si="7"/>
        <v>0</v>
      </c>
      <c r="S66">
        <f t="shared" si="8"/>
        <v>0</v>
      </c>
      <c r="T66">
        <f t="shared" si="9"/>
        <v>0</v>
      </c>
      <c r="U66">
        <f t="shared" si="10"/>
        <v>0</v>
      </c>
      <c r="V66">
        <f t="shared" si="11"/>
        <v>0</v>
      </c>
      <c r="W66">
        <f t="shared" si="12"/>
        <v>0</v>
      </c>
    </row>
    <row r="67" spans="1:23" x14ac:dyDescent="0.25">
      <c r="A67" s="135">
        <v>45862</v>
      </c>
      <c r="B67" s="133">
        <f t="shared" si="3"/>
        <v>0</v>
      </c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1">
        <f t="shared" si="13"/>
        <v>38600</v>
      </c>
      <c r="N67">
        <f t="shared" si="14"/>
        <v>0.1</v>
      </c>
      <c r="O67">
        <f t="shared" si="4"/>
        <v>0</v>
      </c>
      <c r="P67">
        <f t="shared" si="5"/>
        <v>0</v>
      </c>
      <c r="Q67">
        <f t="shared" si="6"/>
        <v>0</v>
      </c>
      <c r="R67">
        <f t="shared" si="7"/>
        <v>0</v>
      </c>
      <c r="S67">
        <f t="shared" si="8"/>
        <v>0</v>
      </c>
      <c r="T67">
        <f t="shared" si="9"/>
        <v>0</v>
      </c>
      <c r="U67">
        <f t="shared" si="10"/>
        <v>0</v>
      </c>
      <c r="V67">
        <f t="shared" si="11"/>
        <v>0</v>
      </c>
      <c r="W67">
        <f t="shared" si="12"/>
        <v>0</v>
      </c>
    </row>
    <row r="68" spans="1:23" x14ac:dyDescent="0.25">
      <c r="A68" s="135">
        <v>45863</v>
      </c>
      <c r="B68" s="133">
        <f t="shared" si="3"/>
        <v>0</v>
      </c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1">
        <f t="shared" si="13"/>
        <v>38600</v>
      </c>
      <c r="N68">
        <f t="shared" si="14"/>
        <v>0.1</v>
      </c>
      <c r="O68">
        <f t="shared" si="4"/>
        <v>0</v>
      </c>
      <c r="P68">
        <f t="shared" si="5"/>
        <v>0</v>
      </c>
      <c r="Q68">
        <f t="shared" si="6"/>
        <v>0</v>
      </c>
      <c r="R68">
        <f t="shared" si="7"/>
        <v>0</v>
      </c>
      <c r="S68">
        <f t="shared" si="8"/>
        <v>0</v>
      </c>
      <c r="T68">
        <f t="shared" si="9"/>
        <v>0</v>
      </c>
      <c r="U68">
        <f t="shared" si="10"/>
        <v>0</v>
      </c>
      <c r="V68">
        <f t="shared" si="11"/>
        <v>0</v>
      </c>
      <c r="W68">
        <f t="shared" si="12"/>
        <v>0</v>
      </c>
    </row>
    <row r="69" spans="1:23" x14ac:dyDescent="0.25">
      <c r="A69" s="135">
        <v>45864</v>
      </c>
      <c r="B69" s="133">
        <f t="shared" si="3"/>
        <v>0</v>
      </c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1">
        <f t="shared" si="13"/>
        <v>38600</v>
      </c>
      <c r="N69">
        <f t="shared" si="14"/>
        <v>0.1</v>
      </c>
      <c r="O69">
        <f t="shared" si="4"/>
        <v>0</v>
      </c>
      <c r="P69">
        <f t="shared" si="5"/>
        <v>0</v>
      </c>
      <c r="Q69">
        <f t="shared" si="6"/>
        <v>0</v>
      </c>
      <c r="R69">
        <f t="shared" si="7"/>
        <v>0</v>
      </c>
      <c r="S69">
        <f t="shared" si="8"/>
        <v>0</v>
      </c>
      <c r="T69">
        <f t="shared" si="9"/>
        <v>0</v>
      </c>
      <c r="U69">
        <f t="shared" si="10"/>
        <v>0</v>
      </c>
      <c r="V69">
        <f t="shared" si="11"/>
        <v>0</v>
      </c>
      <c r="W69">
        <f t="shared" si="12"/>
        <v>0</v>
      </c>
    </row>
    <row r="70" spans="1:23" x14ac:dyDescent="0.25">
      <c r="A70" s="135">
        <v>45865</v>
      </c>
      <c r="B70" s="133">
        <f t="shared" si="3"/>
        <v>0</v>
      </c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1">
        <f t="shared" si="13"/>
        <v>38600</v>
      </c>
      <c r="N70">
        <f t="shared" si="14"/>
        <v>0.1</v>
      </c>
      <c r="O70">
        <f t="shared" si="4"/>
        <v>0</v>
      </c>
      <c r="P70">
        <f t="shared" si="5"/>
        <v>0</v>
      </c>
      <c r="Q70">
        <f t="shared" si="6"/>
        <v>0</v>
      </c>
      <c r="R70">
        <f t="shared" si="7"/>
        <v>0</v>
      </c>
      <c r="S70">
        <f t="shared" si="8"/>
        <v>0</v>
      </c>
      <c r="T70">
        <f t="shared" si="9"/>
        <v>0</v>
      </c>
      <c r="U70">
        <f t="shared" si="10"/>
        <v>0</v>
      </c>
      <c r="V70">
        <f t="shared" si="11"/>
        <v>0</v>
      </c>
      <c r="W70">
        <f t="shared" si="12"/>
        <v>0</v>
      </c>
    </row>
    <row r="71" spans="1:23" x14ac:dyDescent="0.25">
      <c r="A71" s="135">
        <v>45866</v>
      </c>
      <c r="B71" s="133">
        <f t="shared" si="3"/>
        <v>0</v>
      </c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1">
        <f t="shared" si="13"/>
        <v>38600</v>
      </c>
      <c r="N71">
        <f t="shared" si="14"/>
        <v>0.1</v>
      </c>
      <c r="O71">
        <f t="shared" si="4"/>
        <v>0</v>
      </c>
      <c r="P71">
        <f t="shared" si="5"/>
        <v>0</v>
      </c>
      <c r="Q71">
        <f t="shared" si="6"/>
        <v>0</v>
      </c>
      <c r="R71">
        <f t="shared" si="7"/>
        <v>0</v>
      </c>
      <c r="S71">
        <f t="shared" si="8"/>
        <v>0</v>
      </c>
      <c r="T71">
        <f t="shared" si="9"/>
        <v>0</v>
      </c>
      <c r="U71">
        <f t="shared" si="10"/>
        <v>0</v>
      </c>
      <c r="V71">
        <f t="shared" si="11"/>
        <v>0</v>
      </c>
      <c r="W71">
        <f t="shared" si="12"/>
        <v>0</v>
      </c>
    </row>
    <row r="72" spans="1:23" x14ac:dyDescent="0.25">
      <c r="A72" s="135">
        <v>45867</v>
      </c>
      <c r="B72" s="133">
        <f t="shared" si="3"/>
        <v>0</v>
      </c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1">
        <f t="shared" si="13"/>
        <v>38600</v>
      </c>
      <c r="N72">
        <f t="shared" si="14"/>
        <v>0.1</v>
      </c>
      <c r="O72">
        <f t="shared" si="4"/>
        <v>0</v>
      </c>
      <c r="P72">
        <f t="shared" si="5"/>
        <v>0</v>
      </c>
      <c r="Q72">
        <f t="shared" si="6"/>
        <v>0</v>
      </c>
      <c r="R72">
        <f t="shared" si="7"/>
        <v>0</v>
      </c>
      <c r="S72">
        <f t="shared" si="8"/>
        <v>0</v>
      </c>
      <c r="T72">
        <f t="shared" si="9"/>
        <v>0</v>
      </c>
      <c r="U72">
        <f t="shared" si="10"/>
        <v>0</v>
      </c>
      <c r="V72">
        <f t="shared" si="11"/>
        <v>0</v>
      </c>
      <c r="W72">
        <f t="shared" si="12"/>
        <v>0</v>
      </c>
    </row>
    <row r="73" spans="1:23" x14ac:dyDescent="0.25">
      <c r="A73" s="135">
        <v>45868</v>
      </c>
      <c r="B73" s="133">
        <f t="shared" ref="B73:B127" si="15">SUMPRODUCT($C$3:$L$3,C73:L73)</f>
        <v>0</v>
      </c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1">
        <f t="shared" si="13"/>
        <v>38600</v>
      </c>
      <c r="N73">
        <f t="shared" si="14"/>
        <v>0.1</v>
      </c>
      <c r="O73">
        <f t="shared" ref="O73:O127" si="16">D73+O72</f>
        <v>0</v>
      </c>
      <c r="P73">
        <f t="shared" ref="P73:P127" si="17">E73+P72</f>
        <v>0</v>
      </c>
      <c r="Q73">
        <f t="shared" ref="Q73:Q127" si="18">F73+Q72</f>
        <v>0</v>
      </c>
      <c r="R73">
        <f t="shared" ref="R73:R127" si="19">G73+R72</f>
        <v>0</v>
      </c>
      <c r="S73">
        <f t="shared" ref="S73:S127" si="20">H73+S72</f>
        <v>0</v>
      </c>
      <c r="T73">
        <f t="shared" ref="T73:T127" si="21">I73+T72</f>
        <v>0</v>
      </c>
      <c r="U73">
        <f t="shared" ref="U73:U127" si="22">J73+U72</f>
        <v>0</v>
      </c>
      <c r="V73">
        <f t="shared" ref="V73:V127" si="23">K73+V72</f>
        <v>0</v>
      </c>
      <c r="W73">
        <f t="shared" ref="W73:W127" si="24">L73+W72</f>
        <v>0</v>
      </c>
    </row>
    <row r="74" spans="1:23" x14ac:dyDescent="0.25">
      <c r="A74" s="135">
        <v>45869</v>
      </c>
      <c r="B74" s="133">
        <f t="shared" si="15"/>
        <v>0</v>
      </c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1">
        <f t="shared" ref="M74:M127" si="25">B74+M73</f>
        <v>38600</v>
      </c>
      <c r="N74">
        <f t="shared" ref="N74:N127" si="26">C74+N73</f>
        <v>0.1</v>
      </c>
      <c r="O74">
        <f t="shared" si="16"/>
        <v>0</v>
      </c>
      <c r="P74">
        <f t="shared" si="17"/>
        <v>0</v>
      </c>
      <c r="Q74">
        <f t="shared" si="18"/>
        <v>0</v>
      </c>
      <c r="R74">
        <f t="shared" si="19"/>
        <v>0</v>
      </c>
      <c r="S74">
        <f t="shared" si="20"/>
        <v>0</v>
      </c>
      <c r="T74">
        <f t="shared" si="21"/>
        <v>0</v>
      </c>
      <c r="U74">
        <f t="shared" si="22"/>
        <v>0</v>
      </c>
      <c r="V74">
        <f t="shared" si="23"/>
        <v>0</v>
      </c>
      <c r="W74">
        <f t="shared" si="24"/>
        <v>0</v>
      </c>
    </row>
    <row r="75" spans="1:23" x14ac:dyDescent="0.25">
      <c r="A75" s="135">
        <v>45870</v>
      </c>
      <c r="B75" s="133">
        <f t="shared" si="15"/>
        <v>0</v>
      </c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1">
        <f t="shared" si="25"/>
        <v>38600</v>
      </c>
      <c r="N75">
        <f t="shared" si="26"/>
        <v>0.1</v>
      </c>
      <c r="O75">
        <f t="shared" si="16"/>
        <v>0</v>
      </c>
      <c r="P75">
        <f t="shared" si="17"/>
        <v>0</v>
      </c>
      <c r="Q75">
        <f t="shared" si="18"/>
        <v>0</v>
      </c>
      <c r="R75">
        <f t="shared" si="19"/>
        <v>0</v>
      </c>
      <c r="S75">
        <f t="shared" si="20"/>
        <v>0</v>
      </c>
      <c r="T75">
        <f t="shared" si="21"/>
        <v>0</v>
      </c>
      <c r="U75">
        <f t="shared" si="22"/>
        <v>0</v>
      </c>
      <c r="V75">
        <f t="shared" si="23"/>
        <v>0</v>
      </c>
      <c r="W75">
        <f t="shared" si="24"/>
        <v>0</v>
      </c>
    </row>
    <row r="76" spans="1:23" x14ac:dyDescent="0.25">
      <c r="A76" s="135">
        <v>45871</v>
      </c>
      <c r="B76" s="133">
        <f t="shared" si="15"/>
        <v>0</v>
      </c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1">
        <f t="shared" si="25"/>
        <v>38600</v>
      </c>
      <c r="N76">
        <f t="shared" si="26"/>
        <v>0.1</v>
      </c>
      <c r="O76">
        <f t="shared" si="16"/>
        <v>0</v>
      </c>
      <c r="P76">
        <f t="shared" si="17"/>
        <v>0</v>
      </c>
      <c r="Q76">
        <f t="shared" si="18"/>
        <v>0</v>
      </c>
      <c r="R76">
        <f t="shared" si="19"/>
        <v>0</v>
      </c>
      <c r="S76">
        <f t="shared" si="20"/>
        <v>0</v>
      </c>
      <c r="T76">
        <f t="shared" si="21"/>
        <v>0</v>
      </c>
      <c r="U76">
        <f t="shared" si="22"/>
        <v>0</v>
      </c>
      <c r="V76">
        <f t="shared" si="23"/>
        <v>0</v>
      </c>
      <c r="W76">
        <f t="shared" si="24"/>
        <v>0</v>
      </c>
    </row>
    <row r="77" spans="1:23" x14ac:dyDescent="0.25">
      <c r="A77" s="135">
        <v>45872</v>
      </c>
      <c r="B77" s="133">
        <f t="shared" si="15"/>
        <v>0</v>
      </c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1">
        <f t="shared" si="25"/>
        <v>38600</v>
      </c>
      <c r="N77">
        <f t="shared" si="26"/>
        <v>0.1</v>
      </c>
      <c r="O77">
        <f t="shared" si="16"/>
        <v>0</v>
      </c>
      <c r="P77">
        <f t="shared" si="17"/>
        <v>0</v>
      </c>
      <c r="Q77">
        <f t="shared" si="18"/>
        <v>0</v>
      </c>
      <c r="R77">
        <f t="shared" si="19"/>
        <v>0</v>
      </c>
      <c r="S77">
        <f t="shared" si="20"/>
        <v>0</v>
      </c>
      <c r="T77">
        <f t="shared" si="21"/>
        <v>0</v>
      </c>
      <c r="U77">
        <f t="shared" si="22"/>
        <v>0</v>
      </c>
      <c r="V77">
        <f t="shared" si="23"/>
        <v>0</v>
      </c>
      <c r="W77">
        <f t="shared" si="24"/>
        <v>0</v>
      </c>
    </row>
    <row r="78" spans="1:23" x14ac:dyDescent="0.25">
      <c r="A78" s="135">
        <v>45873</v>
      </c>
      <c r="B78" s="133">
        <f t="shared" si="15"/>
        <v>0</v>
      </c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1">
        <f t="shared" si="25"/>
        <v>38600</v>
      </c>
      <c r="N78">
        <f t="shared" si="26"/>
        <v>0.1</v>
      </c>
      <c r="O78">
        <f t="shared" si="16"/>
        <v>0</v>
      </c>
      <c r="P78">
        <f t="shared" si="17"/>
        <v>0</v>
      </c>
      <c r="Q78">
        <f t="shared" si="18"/>
        <v>0</v>
      </c>
      <c r="R78">
        <f t="shared" si="19"/>
        <v>0</v>
      </c>
      <c r="S78">
        <f t="shared" si="20"/>
        <v>0</v>
      </c>
      <c r="T78">
        <f t="shared" si="21"/>
        <v>0</v>
      </c>
      <c r="U78">
        <f t="shared" si="22"/>
        <v>0</v>
      </c>
      <c r="V78">
        <f t="shared" si="23"/>
        <v>0</v>
      </c>
      <c r="W78">
        <f t="shared" si="24"/>
        <v>0</v>
      </c>
    </row>
    <row r="79" spans="1:23" x14ac:dyDescent="0.25">
      <c r="A79" s="135">
        <v>45874</v>
      </c>
      <c r="B79" s="133">
        <f t="shared" si="15"/>
        <v>0</v>
      </c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1">
        <f t="shared" si="25"/>
        <v>38600</v>
      </c>
      <c r="N79">
        <f t="shared" si="26"/>
        <v>0.1</v>
      </c>
      <c r="O79">
        <f t="shared" si="16"/>
        <v>0</v>
      </c>
      <c r="P79">
        <f t="shared" si="17"/>
        <v>0</v>
      </c>
      <c r="Q79">
        <f t="shared" si="18"/>
        <v>0</v>
      </c>
      <c r="R79">
        <f t="shared" si="19"/>
        <v>0</v>
      </c>
      <c r="S79">
        <f t="shared" si="20"/>
        <v>0</v>
      </c>
      <c r="T79">
        <f t="shared" si="21"/>
        <v>0</v>
      </c>
      <c r="U79">
        <f t="shared" si="22"/>
        <v>0</v>
      </c>
      <c r="V79">
        <f t="shared" si="23"/>
        <v>0</v>
      </c>
      <c r="W79">
        <f t="shared" si="24"/>
        <v>0</v>
      </c>
    </row>
    <row r="80" spans="1:23" x14ac:dyDescent="0.25">
      <c r="A80" s="135">
        <v>45875</v>
      </c>
      <c r="B80" s="133">
        <f t="shared" si="15"/>
        <v>0</v>
      </c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1">
        <f t="shared" si="25"/>
        <v>38600</v>
      </c>
      <c r="N80">
        <f t="shared" si="26"/>
        <v>0.1</v>
      </c>
      <c r="O80">
        <f t="shared" si="16"/>
        <v>0</v>
      </c>
      <c r="P80">
        <f t="shared" si="17"/>
        <v>0</v>
      </c>
      <c r="Q80">
        <f t="shared" si="18"/>
        <v>0</v>
      </c>
      <c r="R80">
        <f t="shared" si="19"/>
        <v>0</v>
      </c>
      <c r="S80">
        <f t="shared" si="20"/>
        <v>0</v>
      </c>
      <c r="T80">
        <f t="shared" si="21"/>
        <v>0</v>
      </c>
      <c r="U80">
        <f t="shared" si="22"/>
        <v>0</v>
      </c>
      <c r="V80">
        <f t="shared" si="23"/>
        <v>0</v>
      </c>
      <c r="W80">
        <f t="shared" si="24"/>
        <v>0</v>
      </c>
    </row>
    <row r="81" spans="1:23" x14ac:dyDescent="0.25">
      <c r="A81" s="135">
        <v>45876</v>
      </c>
      <c r="B81" s="133">
        <f t="shared" si="15"/>
        <v>0</v>
      </c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1">
        <f t="shared" si="25"/>
        <v>38600</v>
      </c>
      <c r="N81">
        <f t="shared" si="26"/>
        <v>0.1</v>
      </c>
      <c r="O81">
        <f t="shared" si="16"/>
        <v>0</v>
      </c>
      <c r="P81">
        <f t="shared" si="17"/>
        <v>0</v>
      </c>
      <c r="Q81">
        <f t="shared" si="18"/>
        <v>0</v>
      </c>
      <c r="R81">
        <f t="shared" si="19"/>
        <v>0</v>
      </c>
      <c r="S81">
        <f t="shared" si="20"/>
        <v>0</v>
      </c>
      <c r="T81">
        <f t="shared" si="21"/>
        <v>0</v>
      </c>
      <c r="U81">
        <f t="shared" si="22"/>
        <v>0</v>
      </c>
      <c r="V81">
        <f t="shared" si="23"/>
        <v>0</v>
      </c>
      <c r="W81">
        <f t="shared" si="24"/>
        <v>0</v>
      </c>
    </row>
    <row r="82" spans="1:23" x14ac:dyDescent="0.25">
      <c r="A82" s="135">
        <v>45877</v>
      </c>
      <c r="B82" s="133">
        <f t="shared" si="15"/>
        <v>0</v>
      </c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1">
        <f t="shared" si="25"/>
        <v>38600</v>
      </c>
      <c r="N82">
        <f t="shared" si="26"/>
        <v>0.1</v>
      </c>
      <c r="O82">
        <f t="shared" si="16"/>
        <v>0</v>
      </c>
      <c r="P82">
        <f t="shared" si="17"/>
        <v>0</v>
      </c>
      <c r="Q82">
        <f t="shared" si="18"/>
        <v>0</v>
      </c>
      <c r="R82">
        <f t="shared" si="19"/>
        <v>0</v>
      </c>
      <c r="S82">
        <f t="shared" si="20"/>
        <v>0</v>
      </c>
      <c r="T82">
        <f t="shared" si="21"/>
        <v>0</v>
      </c>
      <c r="U82">
        <f t="shared" si="22"/>
        <v>0</v>
      </c>
      <c r="V82">
        <f t="shared" si="23"/>
        <v>0</v>
      </c>
      <c r="W82">
        <f t="shared" si="24"/>
        <v>0</v>
      </c>
    </row>
    <row r="83" spans="1:23" x14ac:dyDescent="0.25">
      <c r="A83" s="135">
        <v>45878</v>
      </c>
      <c r="B83" s="133">
        <f t="shared" si="15"/>
        <v>0</v>
      </c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1">
        <f t="shared" si="25"/>
        <v>38600</v>
      </c>
      <c r="N83">
        <f t="shared" si="26"/>
        <v>0.1</v>
      </c>
      <c r="O83">
        <f t="shared" si="16"/>
        <v>0</v>
      </c>
      <c r="P83">
        <f t="shared" si="17"/>
        <v>0</v>
      </c>
      <c r="Q83">
        <f t="shared" si="18"/>
        <v>0</v>
      </c>
      <c r="R83">
        <f t="shared" si="19"/>
        <v>0</v>
      </c>
      <c r="S83">
        <f t="shared" si="20"/>
        <v>0</v>
      </c>
      <c r="T83">
        <f t="shared" si="21"/>
        <v>0</v>
      </c>
      <c r="U83">
        <f t="shared" si="22"/>
        <v>0</v>
      </c>
      <c r="V83">
        <f t="shared" si="23"/>
        <v>0</v>
      </c>
      <c r="W83">
        <f t="shared" si="24"/>
        <v>0</v>
      </c>
    </row>
    <row r="84" spans="1:23" x14ac:dyDescent="0.25">
      <c r="A84" s="135">
        <v>45879</v>
      </c>
      <c r="B84" s="133">
        <f t="shared" si="15"/>
        <v>0</v>
      </c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41">
        <f t="shared" si="25"/>
        <v>38600</v>
      </c>
      <c r="N84">
        <f t="shared" si="26"/>
        <v>0.1</v>
      </c>
      <c r="O84">
        <f t="shared" si="16"/>
        <v>0</v>
      </c>
      <c r="P84">
        <f t="shared" si="17"/>
        <v>0</v>
      </c>
      <c r="Q84">
        <f t="shared" si="18"/>
        <v>0</v>
      </c>
      <c r="R84">
        <f t="shared" si="19"/>
        <v>0</v>
      </c>
      <c r="S84">
        <f t="shared" si="20"/>
        <v>0</v>
      </c>
      <c r="T84">
        <f t="shared" si="21"/>
        <v>0</v>
      </c>
      <c r="U84">
        <f t="shared" si="22"/>
        <v>0</v>
      </c>
      <c r="V84">
        <f t="shared" si="23"/>
        <v>0</v>
      </c>
      <c r="W84">
        <f t="shared" si="24"/>
        <v>0</v>
      </c>
    </row>
    <row r="85" spans="1:23" x14ac:dyDescent="0.25">
      <c r="A85" s="135">
        <v>45880</v>
      </c>
      <c r="B85" s="133">
        <f t="shared" si="15"/>
        <v>0</v>
      </c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41">
        <f t="shared" si="25"/>
        <v>38600</v>
      </c>
      <c r="N85">
        <f t="shared" si="26"/>
        <v>0.1</v>
      </c>
      <c r="O85">
        <f t="shared" si="16"/>
        <v>0</v>
      </c>
      <c r="P85">
        <f t="shared" si="17"/>
        <v>0</v>
      </c>
      <c r="Q85">
        <f t="shared" si="18"/>
        <v>0</v>
      </c>
      <c r="R85">
        <f t="shared" si="19"/>
        <v>0</v>
      </c>
      <c r="S85">
        <f t="shared" si="20"/>
        <v>0</v>
      </c>
      <c r="T85">
        <f t="shared" si="21"/>
        <v>0</v>
      </c>
      <c r="U85">
        <f t="shared" si="22"/>
        <v>0</v>
      </c>
      <c r="V85">
        <f t="shared" si="23"/>
        <v>0</v>
      </c>
      <c r="W85">
        <f t="shared" si="24"/>
        <v>0</v>
      </c>
    </row>
    <row r="86" spans="1:23" x14ac:dyDescent="0.25">
      <c r="A86" s="135">
        <v>45881</v>
      </c>
      <c r="B86" s="133">
        <f t="shared" si="15"/>
        <v>0</v>
      </c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1">
        <f t="shared" si="25"/>
        <v>38600</v>
      </c>
      <c r="N86">
        <f t="shared" si="26"/>
        <v>0.1</v>
      </c>
      <c r="O86">
        <f t="shared" si="16"/>
        <v>0</v>
      </c>
      <c r="P86">
        <f t="shared" si="17"/>
        <v>0</v>
      </c>
      <c r="Q86">
        <f t="shared" si="18"/>
        <v>0</v>
      </c>
      <c r="R86">
        <f t="shared" si="19"/>
        <v>0</v>
      </c>
      <c r="S86">
        <f t="shared" si="20"/>
        <v>0</v>
      </c>
      <c r="T86">
        <f t="shared" si="21"/>
        <v>0</v>
      </c>
      <c r="U86">
        <f t="shared" si="22"/>
        <v>0</v>
      </c>
      <c r="V86">
        <f t="shared" si="23"/>
        <v>0</v>
      </c>
      <c r="W86">
        <f t="shared" si="24"/>
        <v>0</v>
      </c>
    </row>
    <row r="87" spans="1:23" x14ac:dyDescent="0.25">
      <c r="A87" s="135">
        <v>45882</v>
      </c>
      <c r="B87" s="133">
        <f t="shared" si="15"/>
        <v>0</v>
      </c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1">
        <f t="shared" si="25"/>
        <v>38600</v>
      </c>
      <c r="N87">
        <f t="shared" si="26"/>
        <v>0.1</v>
      </c>
      <c r="O87">
        <f t="shared" si="16"/>
        <v>0</v>
      </c>
      <c r="P87">
        <f t="shared" si="17"/>
        <v>0</v>
      </c>
      <c r="Q87">
        <f t="shared" si="18"/>
        <v>0</v>
      </c>
      <c r="R87">
        <f t="shared" si="19"/>
        <v>0</v>
      </c>
      <c r="S87">
        <f t="shared" si="20"/>
        <v>0</v>
      </c>
      <c r="T87">
        <f t="shared" si="21"/>
        <v>0</v>
      </c>
      <c r="U87">
        <f t="shared" si="22"/>
        <v>0</v>
      </c>
      <c r="V87">
        <f t="shared" si="23"/>
        <v>0</v>
      </c>
      <c r="W87">
        <f t="shared" si="24"/>
        <v>0</v>
      </c>
    </row>
    <row r="88" spans="1:23" x14ac:dyDescent="0.25">
      <c r="A88" s="135">
        <v>45883</v>
      </c>
      <c r="B88" s="133">
        <f t="shared" si="15"/>
        <v>0</v>
      </c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1">
        <f t="shared" si="25"/>
        <v>38600</v>
      </c>
      <c r="N88">
        <f t="shared" si="26"/>
        <v>0.1</v>
      </c>
      <c r="O88">
        <f t="shared" si="16"/>
        <v>0</v>
      </c>
      <c r="P88">
        <f t="shared" si="17"/>
        <v>0</v>
      </c>
      <c r="Q88">
        <f t="shared" si="18"/>
        <v>0</v>
      </c>
      <c r="R88">
        <f t="shared" si="19"/>
        <v>0</v>
      </c>
      <c r="S88">
        <f t="shared" si="20"/>
        <v>0</v>
      </c>
      <c r="T88">
        <f t="shared" si="21"/>
        <v>0</v>
      </c>
      <c r="U88">
        <f t="shared" si="22"/>
        <v>0</v>
      </c>
      <c r="V88">
        <f t="shared" si="23"/>
        <v>0</v>
      </c>
      <c r="W88">
        <f t="shared" si="24"/>
        <v>0</v>
      </c>
    </row>
    <row r="89" spans="1:23" x14ac:dyDescent="0.25">
      <c r="A89" s="135">
        <v>45884</v>
      </c>
      <c r="B89" s="133">
        <f t="shared" si="15"/>
        <v>0</v>
      </c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1">
        <f t="shared" si="25"/>
        <v>38600</v>
      </c>
      <c r="N89">
        <f t="shared" si="26"/>
        <v>0.1</v>
      </c>
      <c r="O89">
        <f t="shared" si="16"/>
        <v>0</v>
      </c>
      <c r="P89">
        <f t="shared" si="17"/>
        <v>0</v>
      </c>
      <c r="Q89">
        <f t="shared" si="18"/>
        <v>0</v>
      </c>
      <c r="R89">
        <f t="shared" si="19"/>
        <v>0</v>
      </c>
      <c r="S89">
        <f t="shared" si="20"/>
        <v>0</v>
      </c>
      <c r="T89">
        <f t="shared" si="21"/>
        <v>0</v>
      </c>
      <c r="U89">
        <f t="shared" si="22"/>
        <v>0</v>
      </c>
      <c r="V89">
        <f t="shared" si="23"/>
        <v>0</v>
      </c>
      <c r="W89">
        <f t="shared" si="24"/>
        <v>0</v>
      </c>
    </row>
    <row r="90" spans="1:23" x14ac:dyDescent="0.25">
      <c r="A90" s="135">
        <v>45885</v>
      </c>
      <c r="B90" s="133">
        <f t="shared" si="15"/>
        <v>0</v>
      </c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41">
        <f t="shared" si="25"/>
        <v>38600</v>
      </c>
      <c r="N90">
        <f t="shared" si="26"/>
        <v>0.1</v>
      </c>
      <c r="O90">
        <f t="shared" si="16"/>
        <v>0</v>
      </c>
      <c r="P90">
        <f t="shared" si="17"/>
        <v>0</v>
      </c>
      <c r="Q90">
        <f t="shared" si="18"/>
        <v>0</v>
      </c>
      <c r="R90">
        <f t="shared" si="19"/>
        <v>0</v>
      </c>
      <c r="S90">
        <f t="shared" si="20"/>
        <v>0</v>
      </c>
      <c r="T90">
        <f t="shared" si="21"/>
        <v>0</v>
      </c>
      <c r="U90">
        <f t="shared" si="22"/>
        <v>0</v>
      </c>
      <c r="V90">
        <f t="shared" si="23"/>
        <v>0</v>
      </c>
      <c r="W90">
        <f t="shared" si="24"/>
        <v>0</v>
      </c>
    </row>
    <row r="91" spans="1:23" x14ac:dyDescent="0.25">
      <c r="A91" s="135">
        <v>45886</v>
      </c>
      <c r="B91" s="133">
        <f t="shared" si="15"/>
        <v>0</v>
      </c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41">
        <f t="shared" si="25"/>
        <v>38600</v>
      </c>
      <c r="N91">
        <f t="shared" si="26"/>
        <v>0.1</v>
      </c>
      <c r="O91">
        <f t="shared" si="16"/>
        <v>0</v>
      </c>
      <c r="P91">
        <f t="shared" si="17"/>
        <v>0</v>
      </c>
      <c r="Q91">
        <f t="shared" si="18"/>
        <v>0</v>
      </c>
      <c r="R91">
        <f t="shared" si="19"/>
        <v>0</v>
      </c>
      <c r="S91">
        <f t="shared" si="20"/>
        <v>0</v>
      </c>
      <c r="T91">
        <f t="shared" si="21"/>
        <v>0</v>
      </c>
      <c r="U91">
        <f t="shared" si="22"/>
        <v>0</v>
      </c>
      <c r="V91">
        <f t="shared" si="23"/>
        <v>0</v>
      </c>
      <c r="W91">
        <f t="shared" si="24"/>
        <v>0</v>
      </c>
    </row>
    <row r="92" spans="1:23" x14ac:dyDescent="0.25">
      <c r="A92" s="135">
        <v>45887</v>
      </c>
      <c r="B92" s="133">
        <f t="shared" si="15"/>
        <v>0</v>
      </c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1">
        <f t="shared" si="25"/>
        <v>38600</v>
      </c>
      <c r="N92">
        <f t="shared" si="26"/>
        <v>0.1</v>
      </c>
      <c r="O92">
        <f t="shared" si="16"/>
        <v>0</v>
      </c>
      <c r="P92">
        <f t="shared" si="17"/>
        <v>0</v>
      </c>
      <c r="Q92">
        <f t="shared" si="18"/>
        <v>0</v>
      </c>
      <c r="R92">
        <f t="shared" si="19"/>
        <v>0</v>
      </c>
      <c r="S92">
        <f t="shared" si="20"/>
        <v>0</v>
      </c>
      <c r="T92">
        <f t="shared" si="21"/>
        <v>0</v>
      </c>
      <c r="U92">
        <f t="shared" si="22"/>
        <v>0</v>
      </c>
      <c r="V92">
        <f t="shared" si="23"/>
        <v>0</v>
      </c>
      <c r="W92">
        <f t="shared" si="24"/>
        <v>0</v>
      </c>
    </row>
    <row r="93" spans="1:23" x14ac:dyDescent="0.25">
      <c r="A93" s="135">
        <v>45888</v>
      </c>
      <c r="B93" s="133">
        <f t="shared" si="15"/>
        <v>0</v>
      </c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1">
        <f t="shared" si="25"/>
        <v>38600</v>
      </c>
      <c r="N93">
        <f t="shared" si="26"/>
        <v>0.1</v>
      </c>
      <c r="O93">
        <f t="shared" si="16"/>
        <v>0</v>
      </c>
      <c r="P93">
        <f t="shared" si="17"/>
        <v>0</v>
      </c>
      <c r="Q93">
        <f t="shared" si="18"/>
        <v>0</v>
      </c>
      <c r="R93">
        <f t="shared" si="19"/>
        <v>0</v>
      </c>
      <c r="S93">
        <f t="shared" si="20"/>
        <v>0</v>
      </c>
      <c r="T93">
        <f t="shared" si="21"/>
        <v>0</v>
      </c>
      <c r="U93">
        <f t="shared" si="22"/>
        <v>0</v>
      </c>
      <c r="V93">
        <f t="shared" si="23"/>
        <v>0</v>
      </c>
      <c r="W93">
        <f t="shared" si="24"/>
        <v>0</v>
      </c>
    </row>
    <row r="94" spans="1:23" x14ac:dyDescent="0.25">
      <c r="A94" s="135">
        <v>45889</v>
      </c>
      <c r="B94" s="133">
        <f t="shared" si="15"/>
        <v>0</v>
      </c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1">
        <f t="shared" si="25"/>
        <v>38600</v>
      </c>
      <c r="N94">
        <f t="shared" si="26"/>
        <v>0.1</v>
      </c>
      <c r="O94">
        <f t="shared" si="16"/>
        <v>0</v>
      </c>
      <c r="P94">
        <f t="shared" si="17"/>
        <v>0</v>
      </c>
      <c r="Q94">
        <f t="shared" si="18"/>
        <v>0</v>
      </c>
      <c r="R94">
        <f t="shared" si="19"/>
        <v>0</v>
      </c>
      <c r="S94">
        <f t="shared" si="20"/>
        <v>0</v>
      </c>
      <c r="T94">
        <f t="shared" si="21"/>
        <v>0</v>
      </c>
      <c r="U94">
        <f t="shared" si="22"/>
        <v>0</v>
      </c>
      <c r="V94">
        <f t="shared" si="23"/>
        <v>0</v>
      </c>
      <c r="W94">
        <f t="shared" si="24"/>
        <v>0</v>
      </c>
    </row>
    <row r="95" spans="1:23" x14ac:dyDescent="0.25">
      <c r="A95" s="135">
        <v>45890</v>
      </c>
      <c r="B95" s="133">
        <f t="shared" si="15"/>
        <v>0</v>
      </c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1">
        <f t="shared" si="25"/>
        <v>38600</v>
      </c>
      <c r="N95">
        <f t="shared" si="26"/>
        <v>0.1</v>
      </c>
      <c r="O95">
        <f t="shared" si="16"/>
        <v>0</v>
      </c>
      <c r="P95">
        <f t="shared" si="17"/>
        <v>0</v>
      </c>
      <c r="Q95">
        <f t="shared" si="18"/>
        <v>0</v>
      </c>
      <c r="R95">
        <f t="shared" si="19"/>
        <v>0</v>
      </c>
      <c r="S95">
        <f t="shared" si="20"/>
        <v>0</v>
      </c>
      <c r="T95">
        <f t="shared" si="21"/>
        <v>0</v>
      </c>
      <c r="U95">
        <f t="shared" si="22"/>
        <v>0</v>
      </c>
      <c r="V95">
        <f t="shared" si="23"/>
        <v>0</v>
      </c>
      <c r="W95">
        <f t="shared" si="24"/>
        <v>0</v>
      </c>
    </row>
    <row r="96" spans="1:23" x14ac:dyDescent="0.25">
      <c r="A96" s="135">
        <v>45891</v>
      </c>
      <c r="B96" s="133">
        <f t="shared" si="15"/>
        <v>0</v>
      </c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1">
        <f t="shared" si="25"/>
        <v>38600</v>
      </c>
      <c r="N96">
        <f t="shared" si="26"/>
        <v>0.1</v>
      </c>
      <c r="O96">
        <f t="shared" si="16"/>
        <v>0</v>
      </c>
      <c r="P96">
        <f t="shared" si="17"/>
        <v>0</v>
      </c>
      <c r="Q96">
        <f t="shared" si="18"/>
        <v>0</v>
      </c>
      <c r="R96">
        <f t="shared" si="19"/>
        <v>0</v>
      </c>
      <c r="S96">
        <f t="shared" si="20"/>
        <v>0</v>
      </c>
      <c r="T96">
        <f t="shared" si="21"/>
        <v>0</v>
      </c>
      <c r="U96">
        <f t="shared" si="22"/>
        <v>0</v>
      </c>
      <c r="V96">
        <f t="shared" si="23"/>
        <v>0</v>
      </c>
      <c r="W96">
        <f t="shared" si="24"/>
        <v>0</v>
      </c>
    </row>
    <row r="97" spans="1:23" x14ac:dyDescent="0.25">
      <c r="A97" s="135">
        <v>45892</v>
      </c>
      <c r="B97" s="133">
        <f t="shared" si="15"/>
        <v>0</v>
      </c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41">
        <f t="shared" si="25"/>
        <v>38600</v>
      </c>
      <c r="N97">
        <f t="shared" si="26"/>
        <v>0.1</v>
      </c>
      <c r="O97">
        <f t="shared" si="16"/>
        <v>0</v>
      </c>
      <c r="P97">
        <f t="shared" si="17"/>
        <v>0</v>
      </c>
      <c r="Q97">
        <f t="shared" si="18"/>
        <v>0</v>
      </c>
      <c r="R97">
        <f t="shared" si="19"/>
        <v>0</v>
      </c>
      <c r="S97">
        <f t="shared" si="20"/>
        <v>0</v>
      </c>
      <c r="T97">
        <f t="shared" si="21"/>
        <v>0</v>
      </c>
      <c r="U97">
        <f t="shared" si="22"/>
        <v>0</v>
      </c>
      <c r="V97">
        <f t="shared" si="23"/>
        <v>0</v>
      </c>
      <c r="W97">
        <f t="shared" si="24"/>
        <v>0</v>
      </c>
    </row>
    <row r="98" spans="1:23" x14ac:dyDescent="0.25">
      <c r="A98" s="135">
        <v>45893</v>
      </c>
      <c r="B98" s="133">
        <f t="shared" si="15"/>
        <v>0</v>
      </c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41">
        <f t="shared" si="25"/>
        <v>38600</v>
      </c>
      <c r="N98">
        <f t="shared" si="26"/>
        <v>0.1</v>
      </c>
      <c r="O98">
        <f t="shared" si="16"/>
        <v>0</v>
      </c>
      <c r="P98">
        <f t="shared" si="17"/>
        <v>0</v>
      </c>
      <c r="Q98">
        <f t="shared" si="18"/>
        <v>0</v>
      </c>
      <c r="R98">
        <f t="shared" si="19"/>
        <v>0</v>
      </c>
      <c r="S98">
        <f t="shared" si="20"/>
        <v>0</v>
      </c>
      <c r="T98">
        <f t="shared" si="21"/>
        <v>0</v>
      </c>
      <c r="U98">
        <f t="shared" si="22"/>
        <v>0</v>
      </c>
      <c r="V98">
        <f t="shared" si="23"/>
        <v>0</v>
      </c>
      <c r="W98">
        <f t="shared" si="24"/>
        <v>0</v>
      </c>
    </row>
    <row r="99" spans="1:23" x14ac:dyDescent="0.25">
      <c r="A99" s="135">
        <v>45894</v>
      </c>
      <c r="B99" s="133">
        <f t="shared" si="15"/>
        <v>0</v>
      </c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41">
        <f t="shared" si="25"/>
        <v>38600</v>
      </c>
      <c r="N99">
        <f t="shared" si="26"/>
        <v>0.1</v>
      </c>
      <c r="O99">
        <f t="shared" si="16"/>
        <v>0</v>
      </c>
      <c r="P99">
        <f t="shared" si="17"/>
        <v>0</v>
      </c>
      <c r="Q99">
        <f t="shared" si="18"/>
        <v>0</v>
      </c>
      <c r="R99">
        <f t="shared" si="19"/>
        <v>0</v>
      </c>
      <c r="S99">
        <f t="shared" si="20"/>
        <v>0</v>
      </c>
      <c r="T99">
        <f t="shared" si="21"/>
        <v>0</v>
      </c>
      <c r="U99">
        <f t="shared" si="22"/>
        <v>0</v>
      </c>
      <c r="V99">
        <f t="shared" si="23"/>
        <v>0</v>
      </c>
      <c r="W99">
        <f t="shared" si="24"/>
        <v>0</v>
      </c>
    </row>
    <row r="100" spans="1:23" x14ac:dyDescent="0.25">
      <c r="A100" s="135">
        <v>45895</v>
      </c>
      <c r="B100" s="133">
        <f t="shared" si="15"/>
        <v>0</v>
      </c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41">
        <f t="shared" si="25"/>
        <v>38600</v>
      </c>
      <c r="N100">
        <f t="shared" si="26"/>
        <v>0.1</v>
      </c>
      <c r="O100">
        <f t="shared" si="16"/>
        <v>0</v>
      </c>
      <c r="P100">
        <f t="shared" si="17"/>
        <v>0</v>
      </c>
      <c r="Q100">
        <f t="shared" si="18"/>
        <v>0</v>
      </c>
      <c r="R100">
        <f t="shared" si="19"/>
        <v>0</v>
      </c>
      <c r="S100">
        <f t="shared" si="20"/>
        <v>0</v>
      </c>
      <c r="T100">
        <f t="shared" si="21"/>
        <v>0</v>
      </c>
      <c r="U100">
        <f t="shared" si="22"/>
        <v>0</v>
      </c>
      <c r="V100">
        <f t="shared" si="23"/>
        <v>0</v>
      </c>
      <c r="W100">
        <f t="shared" si="24"/>
        <v>0</v>
      </c>
    </row>
    <row r="101" spans="1:23" x14ac:dyDescent="0.25">
      <c r="A101" s="135">
        <v>45896</v>
      </c>
      <c r="B101" s="133">
        <f t="shared" si="15"/>
        <v>0</v>
      </c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1">
        <f t="shared" si="25"/>
        <v>38600</v>
      </c>
      <c r="N101">
        <f t="shared" si="26"/>
        <v>0.1</v>
      </c>
      <c r="O101">
        <f t="shared" si="16"/>
        <v>0</v>
      </c>
      <c r="P101">
        <f t="shared" si="17"/>
        <v>0</v>
      </c>
      <c r="Q101">
        <f t="shared" si="18"/>
        <v>0</v>
      </c>
      <c r="R101">
        <f t="shared" si="19"/>
        <v>0</v>
      </c>
      <c r="S101">
        <f t="shared" si="20"/>
        <v>0</v>
      </c>
      <c r="T101">
        <f t="shared" si="21"/>
        <v>0</v>
      </c>
      <c r="U101">
        <f t="shared" si="22"/>
        <v>0</v>
      </c>
      <c r="V101">
        <f t="shared" si="23"/>
        <v>0</v>
      </c>
      <c r="W101">
        <f t="shared" si="24"/>
        <v>0</v>
      </c>
    </row>
    <row r="102" spans="1:23" x14ac:dyDescent="0.25">
      <c r="A102" s="135">
        <v>45897</v>
      </c>
      <c r="B102" s="133">
        <f t="shared" si="15"/>
        <v>0</v>
      </c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41">
        <f t="shared" si="25"/>
        <v>38600</v>
      </c>
      <c r="N102">
        <f t="shared" si="26"/>
        <v>0.1</v>
      </c>
      <c r="O102">
        <f t="shared" si="16"/>
        <v>0</v>
      </c>
      <c r="P102">
        <f t="shared" si="17"/>
        <v>0</v>
      </c>
      <c r="Q102">
        <f t="shared" si="18"/>
        <v>0</v>
      </c>
      <c r="R102">
        <f t="shared" si="19"/>
        <v>0</v>
      </c>
      <c r="S102">
        <f t="shared" si="20"/>
        <v>0</v>
      </c>
      <c r="T102">
        <f t="shared" si="21"/>
        <v>0</v>
      </c>
      <c r="U102">
        <f t="shared" si="22"/>
        <v>0</v>
      </c>
      <c r="V102">
        <f t="shared" si="23"/>
        <v>0</v>
      </c>
      <c r="W102">
        <f t="shared" si="24"/>
        <v>0</v>
      </c>
    </row>
    <row r="103" spans="1:23" x14ac:dyDescent="0.25">
      <c r="A103" s="135">
        <v>45898</v>
      </c>
      <c r="B103" s="133">
        <f t="shared" si="15"/>
        <v>0</v>
      </c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41">
        <f t="shared" si="25"/>
        <v>38600</v>
      </c>
      <c r="N103">
        <f t="shared" si="26"/>
        <v>0.1</v>
      </c>
      <c r="O103">
        <f t="shared" si="16"/>
        <v>0</v>
      </c>
      <c r="P103">
        <f t="shared" si="17"/>
        <v>0</v>
      </c>
      <c r="Q103">
        <f t="shared" si="18"/>
        <v>0</v>
      </c>
      <c r="R103">
        <f t="shared" si="19"/>
        <v>0</v>
      </c>
      <c r="S103">
        <f t="shared" si="20"/>
        <v>0</v>
      </c>
      <c r="T103">
        <f t="shared" si="21"/>
        <v>0</v>
      </c>
      <c r="U103">
        <f t="shared" si="22"/>
        <v>0</v>
      </c>
      <c r="V103">
        <f t="shared" si="23"/>
        <v>0</v>
      </c>
      <c r="W103">
        <f t="shared" si="24"/>
        <v>0</v>
      </c>
    </row>
    <row r="104" spans="1:23" x14ac:dyDescent="0.25">
      <c r="A104" s="135">
        <v>45899</v>
      </c>
      <c r="B104" s="133">
        <f t="shared" si="15"/>
        <v>0</v>
      </c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41">
        <f t="shared" si="25"/>
        <v>38600</v>
      </c>
      <c r="N104">
        <f t="shared" si="26"/>
        <v>0.1</v>
      </c>
      <c r="O104">
        <f t="shared" si="16"/>
        <v>0</v>
      </c>
      <c r="P104">
        <f t="shared" si="17"/>
        <v>0</v>
      </c>
      <c r="Q104">
        <f t="shared" si="18"/>
        <v>0</v>
      </c>
      <c r="R104">
        <f t="shared" si="19"/>
        <v>0</v>
      </c>
      <c r="S104">
        <f t="shared" si="20"/>
        <v>0</v>
      </c>
      <c r="T104">
        <f t="shared" si="21"/>
        <v>0</v>
      </c>
      <c r="U104">
        <f t="shared" si="22"/>
        <v>0</v>
      </c>
      <c r="V104">
        <f t="shared" si="23"/>
        <v>0</v>
      </c>
      <c r="W104">
        <f t="shared" si="24"/>
        <v>0</v>
      </c>
    </row>
    <row r="105" spans="1:23" x14ac:dyDescent="0.25">
      <c r="A105" s="135">
        <v>45900</v>
      </c>
      <c r="B105" s="133">
        <f t="shared" si="15"/>
        <v>0</v>
      </c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41">
        <f t="shared" si="25"/>
        <v>38600</v>
      </c>
      <c r="N105">
        <f t="shared" si="26"/>
        <v>0.1</v>
      </c>
      <c r="O105">
        <f t="shared" si="16"/>
        <v>0</v>
      </c>
      <c r="P105">
        <f t="shared" si="17"/>
        <v>0</v>
      </c>
      <c r="Q105">
        <f t="shared" si="18"/>
        <v>0</v>
      </c>
      <c r="R105">
        <f t="shared" si="19"/>
        <v>0</v>
      </c>
      <c r="S105">
        <f t="shared" si="20"/>
        <v>0</v>
      </c>
      <c r="T105">
        <f t="shared" si="21"/>
        <v>0</v>
      </c>
      <c r="U105">
        <f t="shared" si="22"/>
        <v>0</v>
      </c>
      <c r="V105">
        <f t="shared" si="23"/>
        <v>0</v>
      </c>
      <c r="W105">
        <f t="shared" si="24"/>
        <v>0</v>
      </c>
    </row>
    <row r="106" spans="1:23" x14ac:dyDescent="0.25">
      <c r="A106" s="135">
        <v>45901</v>
      </c>
      <c r="B106" s="133">
        <f t="shared" si="15"/>
        <v>0</v>
      </c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41">
        <f t="shared" si="25"/>
        <v>38600</v>
      </c>
      <c r="N106">
        <f t="shared" si="26"/>
        <v>0.1</v>
      </c>
      <c r="O106">
        <f t="shared" si="16"/>
        <v>0</v>
      </c>
      <c r="P106">
        <f t="shared" si="17"/>
        <v>0</v>
      </c>
      <c r="Q106">
        <f t="shared" si="18"/>
        <v>0</v>
      </c>
      <c r="R106">
        <f t="shared" si="19"/>
        <v>0</v>
      </c>
      <c r="S106">
        <f t="shared" si="20"/>
        <v>0</v>
      </c>
      <c r="T106">
        <f t="shared" si="21"/>
        <v>0</v>
      </c>
      <c r="U106">
        <f t="shared" si="22"/>
        <v>0</v>
      </c>
      <c r="V106">
        <f t="shared" si="23"/>
        <v>0</v>
      </c>
      <c r="W106">
        <f t="shared" si="24"/>
        <v>0</v>
      </c>
    </row>
    <row r="107" spans="1:23" x14ac:dyDescent="0.25">
      <c r="A107" s="135">
        <v>45902</v>
      </c>
      <c r="B107" s="133">
        <f t="shared" si="15"/>
        <v>0</v>
      </c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41">
        <f t="shared" si="25"/>
        <v>38600</v>
      </c>
      <c r="N107">
        <f t="shared" si="26"/>
        <v>0.1</v>
      </c>
      <c r="O107">
        <f t="shared" si="16"/>
        <v>0</v>
      </c>
      <c r="P107">
        <f t="shared" si="17"/>
        <v>0</v>
      </c>
      <c r="Q107">
        <f t="shared" si="18"/>
        <v>0</v>
      </c>
      <c r="R107">
        <f t="shared" si="19"/>
        <v>0</v>
      </c>
      <c r="S107">
        <f t="shared" si="20"/>
        <v>0</v>
      </c>
      <c r="T107">
        <f t="shared" si="21"/>
        <v>0</v>
      </c>
      <c r="U107">
        <f t="shared" si="22"/>
        <v>0</v>
      </c>
      <c r="V107">
        <f t="shared" si="23"/>
        <v>0</v>
      </c>
      <c r="W107">
        <f t="shared" si="24"/>
        <v>0</v>
      </c>
    </row>
    <row r="108" spans="1:23" x14ac:dyDescent="0.25">
      <c r="A108" s="135">
        <v>45903</v>
      </c>
      <c r="B108" s="133">
        <f t="shared" si="15"/>
        <v>0</v>
      </c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41">
        <f t="shared" si="25"/>
        <v>38600</v>
      </c>
      <c r="N108">
        <f t="shared" si="26"/>
        <v>0.1</v>
      </c>
      <c r="O108">
        <f t="shared" si="16"/>
        <v>0</v>
      </c>
      <c r="P108">
        <f t="shared" si="17"/>
        <v>0</v>
      </c>
      <c r="Q108">
        <f t="shared" si="18"/>
        <v>0</v>
      </c>
      <c r="R108">
        <f t="shared" si="19"/>
        <v>0</v>
      </c>
      <c r="S108">
        <f t="shared" si="20"/>
        <v>0</v>
      </c>
      <c r="T108">
        <f t="shared" si="21"/>
        <v>0</v>
      </c>
      <c r="U108">
        <f t="shared" si="22"/>
        <v>0</v>
      </c>
      <c r="V108">
        <f t="shared" si="23"/>
        <v>0</v>
      </c>
      <c r="W108">
        <f t="shared" si="24"/>
        <v>0</v>
      </c>
    </row>
    <row r="109" spans="1:23" x14ac:dyDescent="0.25">
      <c r="A109" s="135">
        <v>45904</v>
      </c>
      <c r="B109" s="133">
        <f t="shared" si="15"/>
        <v>0</v>
      </c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41">
        <f t="shared" si="25"/>
        <v>38600</v>
      </c>
      <c r="N109">
        <f t="shared" si="26"/>
        <v>0.1</v>
      </c>
      <c r="O109">
        <f t="shared" si="16"/>
        <v>0</v>
      </c>
      <c r="P109">
        <f t="shared" si="17"/>
        <v>0</v>
      </c>
      <c r="Q109">
        <f t="shared" si="18"/>
        <v>0</v>
      </c>
      <c r="R109">
        <f t="shared" si="19"/>
        <v>0</v>
      </c>
      <c r="S109">
        <f t="shared" si="20"/>
        <v>0</v>
      </c>
      <c r="T109">
        <f t="shared" si="21"/>
        <v>0</v>
      </c>
      <c r="U109">
        <f t="shared" si="22"/>
        <v>0</v>
      </c>
      <c r="V109">
        <f t="shared" si="23"/>
        <v>0</v>
      </c>
      <c r="W109">
        <f t="shared" si="24"/>
        <v>0</v>
      </c>
    </row>
    <row r="110" spans="1:23" x14ac:dyDescent="0.25">
      <c r="A110" s="135">
        <v>45905</v>
      </c>
      <c r="B110" s="133">
        <f t="shared" si="15"/>
        <v>0</v>
      </c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41">
        <f t="shared" si="25"/>
        <v>38600</v>
      </c>
      <c r="N110">
        <f t="shared" si="26"/>
        <v>0.1</v>
      </c>
      <c r="O110">
        <f t="shared" si="16"/>
        <v>0</v>
      </c>
      <c r="P110">
        <f t="shared" si="17"/>
        <v>0</v>
      </c>
      <c r="Q110">
        <f t="shared" si="18"/>
        <v>0</v>
      </c>
      <c r="R110">
        <f t="shared" si="19"/>
        <v>0</v>
      </c>
      <c r="S110">
        <f t="shared" si="20"/>
        <v>0</v>
      </c>
      <c r="T110">
        <f t="shared" si="21"/>
        <v>0</v>
      </c>
      <c r="U110">
        <f t="shared" si="22"/>
        <v>0</v>
      </c>
      <c r="V110">
        <f t="shared" si="23"/>
        <v>0</v>
      </c>
      <c r="W110">
        <f t="shared" si="24"/>
        <v>0</v>
      </c>
    </row>
    <row r="111" spans="1:23" x14ac:dyDescent="0.25">
      <c r="A111" s="135">
        <v>45906</v>
      </c>
      <c r="B111" s="133">
        <f t="shared" si="15"/>
        <v>0</v>
      </c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41">
        <f t="shared" si="25"/>
        <v>38600</v>
      </c>
      <c r="N111">
        <f t="shared" si="26"/>
        <v>0.1</v>
      </c>
      <c r="O111">
        <f t="shared" si="16"/>
        <v>0</v>
      </c>
      <c r="P111">
        <f t="shared" si="17"/>
        <v>0</v>
      </c>
      <c r="Q111">
        <f t="shared" si="18"/>
        <v>0</v>
      </c>
      <c r="R111">
        <f t="shared" si="19"/>
        <v>0</v>
      </c>
      <c r="S111">
        <f t="shared" si="20"/>
        <v>0</v>
      </c>
      <c r="T111">
        <f t="shared" si="21"/>
        <v>0</v>
      </c>
      <c r="U111">
        <f t="shared" si="22"/>
        <v>0</v>
      </c>
      <c r="V111">
        <f t="shared" si="23"/>
        <v>0</v>
      </c>
      <c r="W111">
        <f t="shared" si="24"/>
        <v>0</v>
      </c>
    </row>
    <row r="112" spans="1:23" x14ac:dyDescent="0.25">
      <c r="A112" s="135">
        <v>45907</v>
      </c>
      <c r="B112" s="133">
        <f t="shared" si="15"/>
        <v>0</v>
      </c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41">
        <f t="shared" si="25"/>
        <v>38600</v>
      </c>
      <c r="N112">
        <f t="shared" si="26"/>
        <v>0.1</v>
      </c>
      <c r="O112">
        <f t="shared" si="16"/>
        <v>0</v>
      </c>
      <c r="P112">
        <f t="shared" si="17"/>
        <v>0</v>
      </c>
      <c r="Q112">
        <f t="shared" si="18"/>
        <v>0</v>
      </c>
      <c r="R112">
        <f t="shared" si="19"/>
        <v>0</v>
      </c>
      <c r="S112">
        <f t="shared" si="20"/>
        <v>0</v>
      </c>
      <c r="T112">
        <f t="shared" si="21"/>
        <v>0</v>
      </c>
      <c r="U112">
        <f t="shared" si="22"/>
        <v>0</v>
      </c>
      <c r="V112">
        <f t="shared" si="23"/>
        <v>0</v>
      </c>
      <c r="W112">
        <f t="shared" si="24"/>
        <v>0</v>
      </c>
    </row>
    <row r="113" spans="1:23" x14ac:dyDescent="0.25">
      <c r="A113" s="135">
        <v>45908</v>
      </c>
      <c r="B113" s="133">
        <f t="shared" si="15"/>
        <v>0</v>
      </c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41">
        <f t="shared" si="25"/>
        <v>38600</v>
      </c>
      <c r="N113">
        <f t="shared" si="26"/>
        <v>0.1</v>
      </c>
      <c r="O113">
        <f t="shared" si="16"/>
        <v>0</v>
      </c>
      <c r="P113">
        <f t="shared" si="17"/>
        <v>0</v>
      </c>
      <c r="Q113">
        <f t="shared" si="18"/>
        <v>0</v>
      </c>
      <c r="R113">
        <f t="shared" si="19"/>
        <v>0</v>
      </c>
      <c r="S113">
        <f t="shared" si="20"/>
        <v>0</v>
      </c>
      <c r="T113">
        <f t="shared" si="21"/>
        <v>0</v>
      </c>
      <c r="U113">
        <f t="shared" si="22"/>
        <v>0</v>
      </c>
      <c r="V113">
        <f t="shared" si="23"/>
        <v>0</v>
      </c>
      <c r="W113">
        <f t="shared" si="24"/>
        <v>0</v>
      </c>
    </row>
    <row r="114" spans="1:23" x14ac:dyDescent="0.25">
      <c r="A114" s="135">
        <v>45909</v>
      </c>
      <c r="B114" s="133">
        <f t="shared" si="15"/>
        <v>0</v>
      </c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41">
        <f t="shared" si="25"/>
        <v>38600</v>
      </c>
      <c r="N114">
        <f t="shared" si="26"/>
        <v>0.1</v>
      </c>
      <c r="O114">
        <f t="shared" si="16"/>
        <v>0</v>
      </c>
      <c r="P114">
        <f t="shared" si="17"/>
        <v>0</v>
      </c>
      <c r="Q114">
        <f t="shared" si="18"/>
        <v>0</v>
      </c>
      <c r="R114">
        <f t="shared" si="19"/>
        <v>0</v>
      </c>
      <c r="S114">
        <f t="shared" si="20"/>
        <v>0</v>
      </c>
      <c r="T114">
        <f t="shared" si="21"/>
        <v>0</v>
      </c>
      <c r="U114">
        <f t="shared" si="22"/>
        <v>0</v>
      </c>
      <c r="V114">
        <f t="shared" si="23"/>
        <v>0</v>
      </c>
      <c r="W114">
        <f t="shared" si="24"/>
        <v>0</v>
      </c>
    </row>
    <row r="115" spans="1:23" x14ac:dyDescent="0.25">
      <c r="A115" s="135">
        <v>45910</v>
      </c>
      <c r="B115" s="133">
        <f t="shared" si="15"/>
        <v>0</v>
      </c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41">
        <f t="shared" si="25"/>
        <v>38600</v>
      </c>
      <c r="N115">
        <f t="shared" si="26"/>
        <v>0.1</v>
      </c>
      <c r="O115">
        <f t="shared" si="16"/>
        <v>0</v>
      </c>
      <c r="P115">
        <f t="shared" si="17"/>
        <v>0</v>
      </c>
      <c r="Q115">
        <f t="shared" si="18"/>
        <v>0</v>
      </c>
      <c r="R115">
        <f t="shared" si="19"/>
        <v>0</v>
      </c>
      <c r="S115">
        <f t="shared" si="20"/>
        <v>0</v>
      </c>
      <c r="T115">
        <f t="shared" si="21"/>
        <v>0</v>
      </c>
      <c r="U115">
        <f t="shared" si="22"/>
        <v>0</v>
      </c>
      <c r="V115">
        <f t="shared" si="23"/>
        <v>0</v>
      </c>
      <c r="W115">
        <f t="shared" si="24"/>
        <v>0</v>
      </c>
    </row>
    <row r="116" spans="1:23" x14ac:dyDescent="0.25">
      <c r="A116" s="135">
        <v>45911</v>
      </c>
      <c r="B116" s="133">
        <f t="shared" si="15"/>
        <v>0</v>
      </c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41">
        <f t="shared" si="25"/>
        <v>38600</v>
      </c>
      <c r="N116">
        <f t="shared" si="26"/>
        <v>0.1</v>
      </c>
      <c r="O116">
        <f t="shared" si="16"/>
        <v>0</v>
      </c>
      <c r="P116">
        <f t="shared" si="17"/>
        <v>0</v>
      </c>
      <c r="Q116">
        <f t="shared" si="18"/>
        <v>0</v>
      </c>
      <c r="R116">
        <f t="shared" si="19"/>
        <v>0</v>
      </c>
      <c r="S116">
        <f t="shared" si="20"/>
        <v>0</v>
      </c>
      <c r="T116">
        <f t="shared" si="21"/>
        <v>0</v>
      </c>
      <c r="U116">
        <f t="shared" si="22"/>
        <v>0</v>
      </c>
      <c r="V116">
        <f t="shared" si="23"/>
        <v>0</v>
      </c>
      <c r="W116">
        <f t="shared" si="24"/>
        <v>0</v>
      </c>
    </row>
    <row r="117" spans="1:23" x14ac:dyDescent="0.25">
      <c r="A117" s="135">
        <v>45912</v>
      </c>
      <c r="B117" s="133">
        <f t="shared" si="15"/>
        <v>0</v>
      </c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41">
        <f t="shared" si="25"/>
        <v>38600</v>
      </c>
      <c r="N117">
        <f t="shared" si="26"/>
        <v>0.1</v>
      </c>
      <c r="O117">
        <f t="shared" si="16"/>
        <v>0</v>
      </c>
      <c r="P117">
        <f t="shared" si="17"/>
        <v>0</v>
      </c>
      <c r="Q117">
        <f t="shared" si="18"/>
        <v>0</v>
      </c>
      <c r="R117">
        <f t="shared" si="19"/>
        <v>0</v>
      </c>
      <c r="S117">
        <f t="shared" si="20"/>
        <v>0</v>
      </c>
      <c r="T117">
        <f t="shared" si="21"/>
        <v>0</v>
      </c>
      <c r="U117">
        <f t="shared" si="22"/>
        <v>0</v>
      </c>
      <c r="V117">
        <f t="shared" si="23"/>
        <v>0</v>
      </c>
      <c r="W117">
        <f t="shared" si="24"/>
        <v>0</v>
      </c>
    </row>
    <row r="118" spans="1:23" x14ac:dyDescent="0.25">
      <c r="A118" s="135">
        <v>45913</v>
      </c>
      <c r="B118" s="133">
        <f t="shared" si="15"/>
        <v>0</v>
      </c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41">
        <f t="shared" si="25"/>
        <v>38600</v>
      </c>
      <c r="N118">
        <f t="shared" si="26"/>
        <v>0.1</v>
      </c>
      <c r="O118">
        <f t="shared" si="16"/>
        <v>0</v>
      </c>
      <c r="P118">
        <f t="shared" si="17"/>
        <v>0</v>
      </c>
      <c r="Q118">
        <f t="shared" si="18"/>
        <v>0</v>
      </c>
      <c r="R118">
        <f t="shared" si="19"/>
        <v>0</v>
      </c>
      <c r="S118">
        <f t="shared" si="20"/>
        <v>0</v>
      </c>
      <c r="T118">
        <f t="shared" si="21"/>
        <v>0</v>
      </c>
      <c r="U118">
        <f t="shared" si="22"/>
        <v>0</v>
      </c>
      <c r="V118">
        <f t="shared" si="23"/>
        <v>0</v>
      </c>
      <c r="W118">
        <f t="shared" si="24"/>
        <v>0</v>
      </c>
    </row>
    <row r="119" spans="1:23" x14ac:dyDescent="0.25">
      <c r="A119" s="135">
        <v>45914</v>
      </c>
      <c r="B119" s="133">
        <f t="shared" si="15"/>
        <v>0</v>
      </c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41">
        <f t="shared" si="25"/>
        <v>38600</v>
      </c>
      <c r="N119">
        <f t="shared" si="26"/>
        <v>0.1</v>
      </c>
      <c r="O119">
        <f t="shared" si="16"/>
        <v>0</v>
      </c>
      <c r="P119">
        <f t="shared" si="17"/>
        <v>0</v>
      </c>
      <c r="Q119">
        <f t="shared" si="18"/>
        <v>0</v>
      </c>
      <c r="R119">
        <f t="shared" si="19"/>
        <v>0</v>
      </c>
      <c r="S119">
        <f t="shared" si="20"/>
        <v>0</v>
      </c>
      <c r="T119">
        <f t="shared" si="21"/>
        <v>0</v>
      </c>
      <c r="U119">
        <f t="shared" si="22"/>
        <v>0</v>
      </c>
      <c r="V119">
        <f t="shared" si="23"/>
        <v>0</v>
      </c>
      <c r="W119">
        <f t="shared" si="24"/>
        <v>0</v>
      </c>
    </row>
    <row r="120" spans="1:23" x14ac:dyDescent="0.25">
      <c r="A120" s="135">
        <v>45915</v>
      </c>
      <c r="B120" s="133">
        <f t="shared" si="15"/>
        <v>0</v>
      </c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41">
        <f t="shared" si="25"/>
        <v>38600</v>
      </c>
      <c r="N120">
        <f t="shared" si="26"/>
        <v>0.1</v>
      </c>
      <c r="O120">
        <f t="shared" si="16"/>
        <v>0</v>
      </c>
      <c r="P120">
        <f t="shared" si="17"/>
        <v>0</v>
      </c>
      <c r="Q120">
        <f t="shared" si="18"/>
        <v>0</v>
      </c>
      <c r="R120">
        <f t="shared" si="19"/>
        <v>0</v>
      </c>
      <c r="S120">
        <f t="shared" si="20"/>
        <v>0</v>
      </c>
      <c r="T120">
        <f t="shared" si="21"/>
        <v>0</v>
      </c>
      <c r="U120">
        <f t="shared" si="22"/>
        <v>0</v>
      </c>
      <c r="V120">
        <f t="shared" si="23"/>
        <v>0</v>
      </c>
      <c r="W120">
        <f t="shared" si="24"/>
        <v>0</v>
      </c>
    </row>
    <row r="121" spans="1:23" x14ac:dyDescent="0.25">
      <c r="A121" s="135">
        <v>45916</v>
      </c>
      <c r="B121" s="133">
        <f t="shared" si="15"/>
        <v>0</v>
      </c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1">
        <f t="shared" si="25"/>
        <v>38600</v>
      </c>
      <c r="N121">
        <f t="shared" si="26"/>
        <v>0.1</v>
      </c>
      <c r="O121">
        <f t="shared" si="16"/>
        <v>0</v>
      </c>
      <c r="P121">
        <f t="shared" si="17"/>
        <v>0</v>
      </c>
      <c r="Q121">
        <f t="shared" si="18"/>
        <v>0</v>
      </c>
      <c r="R121">
        <f t="shared" si="19"/>
        <v>0</v>
      </c>
      <c r="S121">
        <f t="shared" si="20"/>
        <v>0</v>
      </c>
      <c r="T121">
        <f t="shared" si="21"/>
        <v>0</v>
      </c>
      <c r="U121">
        <f t="shared" si="22"/>
        <v>0</v>
      </c>
      <c r="V121">
        <f t="shared" si="23"/>
        <v>0</v>
      </c>
      <c r="W121">
        <f t="shared" si="24"/>
        <v>0</v>
      </c>
    </row>
    <row r="122" spans="1:23" x14ac:dyDescent="0.25">
      <c r="A122" s="135">
        <v>45917</v>
      </c>
      <c r="B122" s="133">
        <f t="shared" si="15"/>
        <v>0</v>
      </c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41">
        <f t="shared" si="25"/>
        <v>38600</v>
      </c>
      <c r="N122">
        <f t="shared" si="26"/>
        <v>0.1</v>
      </c>
      <c r="O122">
        <f t="shared" si="16"/>
        <v>0</v>
      </c>
      <c r="P122">
        <f t="shared" si="17"/>
        <v>0</v>
      </c>
      <c r="Q122">
        <f t="shared" si="18"/>
        <v>0</v>
      </c>
      <c r="R122">
        <f t="shared" si="19"/>
        <v>0</v>
      </c>
      <c r="S122">
        <f t="shared" si="20"/>
        <v>0</v>
      </c>
      <c r="T122">
        <f t="shared" si="21"/>
        <v>0</v>
      </c>
      <c r="U122">
        <f t="shared" si="22"/>
        <v>0</v>
      </c>
      <c r="V122">
        <f t="shared" si="23"/>
        <v>0</v>
      </c>
      <c r="W122">
        <f t="shared" si="24"/>
        <v>0</v>
      </c>
    </row>
    <row r="123" spans="1:23" x14ac:dyDescent="0.25">
      <c r="A123" s="135">
        <v>45918</v>
      </c>
      <c r="B123" s="133">
        <f t="shared" si="15"/>
        <v>0</v>
      </c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41">
        <f t="shared" si="25"/>
        <v>38600</v>
      </c>
      <c r="N123">
        <f t="shared" si="26"/>
        <v>0.1</v>
      </c>
      <c r="O123">
        <f t="shared" si="16"/>
        <v>0</v>
      </c>
      <c r="P123">
        <f t="shared" si="17"/>
        <v>0</v>
      </c>
      <c r="Q123">
        <f t="shared" si="18"/>
        <v>0</v>
      </c>
      <c r="R123">
        <f t="shared" si="19"/>
        <v>0</v>
      </c>
      <c r="S123">
        <f t="shared" si="20"/>
        <v>0</v>
      </c>
      <c r="T123">
        <f t="shared" si="21"/>
        <v>0</v>
      </c>
      <c r="U123">
        <f t="shared" si="22"/>
        <v>0</v>
      </c>
      <c r="V123">
        <f t="shared" si="23"/>
        <v>0</v>
      </c>
      <c r="W123">
        <f t="shared" si="24"/>
        <v>0</v>
      </c>
    </row>
    <row r="124" spans="1:23" x14ac:dyDescent="0.25">
      <c r="A124" s="135">
        <v>45919</v>
      </c>
      <c r="B124" s="133">
        <f t="shared" si="15"/>
        <v>0</v>
      </c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41">
        <f t="shared" si="25"/>
        <v>38600</v>
      </c>
      <c r="N124">
        <f t="shared" si="26"/>
        <v>0.1</v>
      </c>
      <c r="O124">
        <f t="shared" si="16"/>
        <v>0</v>
      </c>
      <c r="P124">
        <f t="shared" si="17"/>
        <v>0</v>
      </c>
      <c r="Q124">
        <f t="shared" si="18"/>
        <v>0</v>
      </c>
      <c r="R124">
        <f t="shared" si="19"/>
        <v>0</v>
      </c>
      <c r="S124">
        <f t="shared" si="20"/>
        <v>0</v>
      </c>
      <c r="T124">
        <f t="shared" si="21"/>
        <v>0</v>
      </c>
      <c r="U124">
        <f t="shared" si="22"/>
        <v>0</v>
      </c>
      <c r="V124">
        <f t="shared" si="23"/>
        <v>0</v>
      </c>
      <c r="W124">
        <f t="shared" si="24"/>
        <v>0</v>
      </c>
    </row>
    <row r="125" spans="1:23" x14ac:dyDescent="0.25">
      <c r="A125" s="135">
        <v>45920</v>
      </c>
      <c r="B125" s="133">
        <f t="shared" si="15"/>
        <v>0</v>
      </c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41">
        <f t="shared" si="25"/>
        <v>38600</v>
      </c>
      <c r="N125">
        <f t="shared" si="26"/>
        <v>0.1</v>
      </c>
      <c r="O125">
        <f t="shared" si="16"/>
        <v>0</v>
      </c>
      <c r="P125">
        <f t="shared" si="17"/>
        <v>0</v>
      </c>
      <c r="Q125">
        <f t="shared" si="18"/>
        <v>0</v>
      </c>
      <c r="R125">
        <f t="shared" si="19"/>
        <v>0</v>
      </c>
      <c r="S125">
        <f t="shared" si="20"/>
        <v>0</v>
      </c>
      <c r="T125">
        <f t="shared" si="21"/>
        <v>0</v>
      </c>
      <c r="U125">
        <f t="shared" si="22"/>
        <v>0</v>
      </c>
      <c r="V125">
        <f t="shared" si="23"/>
        <v>0</v>
      </c>
      <c r="W125">
        <f t="shared" si="24"/>
        <v>0</v>
      </c>
    </row>
    <row r="126" spans="1:23" x14ac:dyDescent="0.25">
      <c r="A126" s="135">
        <v>45921</v>
      </c>
      <c r="B126" s="133">
        <f t="shared" si="15"/>
        <v>0</v>
      </c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41">
        <f t="shared" si="25"/>
        <v>38600</v>
      </c>
      <c r="N126">
        <f t="shared" si="26"/>
        <v>0.1</v>
      </c>
      <c r="O126">
        <f t="shared" si="16"/>
        <v>0</v>
      </c>
      <c r="P126">
        <f t="shared" si="17"/>
        <v>0</v>
      </c>
      <c r="Q126">
        <f t="shared" si="18"/>
        <v>0</v>
      </c>
      <c r="R126">
        <f t="shared" si="19"/>
        <v>0</v>
      </c>
      <c r="S126">
        <f t="shared" si="20"/>
        <v>0</v>
      </c>
      <c r="T126">
        <f t="shared" si="21"/>
        <v>0</v>
      </c>
      <c r="U126">
        <f t="shared" si="22"/>
        <v>0</v>
      </c>
      <c r="V126">
        <f t="shared" si="23"/>
        <v>0</v>
      </c>
      <c r="W126">
        <f t="shared" si="24"/>
        <v>0</v>
      </c>
    </row>
    <row r="127" spans="1:23" x14ac:dyDescent="0.25">
      <c r="A127" s="135">
        <v>45922</v>
      </c>
      <c r="B127" s="133">
        <f t="shared" si="15"/>
        <v>0</v>
      </c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41">
        <f t="shared" si="25"/>
        <v>38600</v>
      </c>
      <c r="N127">
        <f t="shared" si="26"/>
        <v>0.1</v>
      </c>
      <c r="O127">
        <f t="shared" si="16"/>
        <v>0</v>
      </c>
      <c r="P127">
        <f t="shared" si="17"/>
        <v>0</v>
      </c>
      <c r="Q127">
        <f t="shared" si="18"/>
        <v>0</v>
      </c>
      <c r="R127">
        <f t="shared" si="19"/>
        <v>0</v>
      </c>
      <c r="S127">
        <f t="shared" si="20"/>
        <v>0</v>
      </c>
      <c r="T127">
        <f t="shared" si="21"/>
        <v>0</v>
      </c>
      <c r="U127">
        <f t="shared" si="22"/>
        <v>0</v>
      </c>
      <c r="V127">
        <f t="shared" si="23"/>
        <v>0</v>
      </c>
      <c r="W127">
        <f t="shared" si="24"/>
        <v>0</v>
      </c>
    </row>
  </sheetData>
  <mergeCells count="1">
    <mergeCell ref="M2:M7"/>
  </mergeCells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indexed="43"/>
  </sheetPr>
  <dimension ref="A1:Z85"/>
  <sheetViews>
    <sheetView zoomScale="85" zoomScaleNormal="85" workbookViewId="0">
      <selection activeCell="E26" sqref="E26:F32"/>
    </sheetView>
  </sheetViews>
  <sheetFormatPr defaultRowHeight="16.5" x14ac:dyDescent="0.25"/>
  <cols>
    <col min="1" max="1" width="16.125" bestFit="1" customWidth="1"/>
    <col min="2" max="2" width="35.375" customWidth="1"/>
    <col min="3" max="3" width="9.125" customWidth="1"/>
    <col min="4" max="4" width="11.375" bestFit="1" customWidth="1"/>
    <col min="5" max="5" width="11.125" customWidth="1"/>
    <col min="6" max="6" width="18.625" customWidth="1"/>
    <col min="7" max="7" width="16.75" customWidth="1"/>
    <col min="8" max="8" width="17.375" customWidth="1"/>
    <col min="9" max="9" width="18.75" customWidth="1"/>
    <col min="10" max="10" width="8.625" customWidth="1"/>
    <col min="11" max="11" width="10.625" customWidth="1"/>
    <col min="12" max="12" width="18.25" customWidth="1"/>
    <col min="13" max="13" width="12.375" customWidth="1"/>
    <col min="14" max="14" width="11.25" customWidth="1"/>
    <col min="27" max="27" width="14.5" customWidth="1"/>
  </cols>
  <sheetData>
    <row r="1" spans="1:26" x14ac:dyDescent="0.25">
      <c r="A1" s="10" t="s">
        <v>186</v>
      </c>
      <c r="B1" s="11" t="s">
        <v>77</v>
      </c>
      <c r="G1" s="11" t="s">
        <v>65</v>
      </c>
      <c r="H1" s="290" t="s">
        <v>459</v>
      </c>
      <c r="I1" s="291"/>
      <c r="J1" s="291"/>
      <c r="K1" s="291"/>
      <c r="L1" s="292"/>
      <c r="Z1" s="40"/>
    </row>
    <row r="2" spans="1:26" x14ac:dyDescent="0.25">
      <c r="A2" s="94">
        <v>45803</v>
      </c>
      <c r="B2" s="94">
        <v>45922</v>
      </c>
      <c r="C2" s="7">
        <f>B2-A2+1</f>
        <v>120</v>
      </c>
      <c r="G2" s="11" t="s">
        <v>63</v>
      </c>
      <c r="H2" s="293" t="s">
        <v>461</v>
      </c>
      <c r="I2" s="291"/>
      <c r="J2" s="291"/>
      <c r="K2" s="291"/>
      <c r="L2" s="292"/>
    </row>
    <row r="3" spans="1:26" x14ac:dyDescent="0.25">
      <c r="A3" s="289" t="s">
        <v>184</v>
      </c>
      <c r="B3" s="289"/>
      <c r="C3" s="289"/>
      <c r="D3" s="289"/>
      <c r="E3" s="289"/>
      <c r="F3" s="95">
        <f>SUM(F6:F30)</f>
        <v>4511155</v>
      </c>
      <c r="G3" s="11" t="s">
        <v>64</v>
      </c>
      <c r="H3" s="290" t="s">
        <v>460</v>
      </c>
      <c r="I3" s="291"/>
      <c r="J3" s="291"/>
      <c r="K3" s="291"/>
      <c r="L3" s="292"/>
    </row>
    <row r="4" spans="1:26" x14ac:dyDescent="0.25">
      <c r="A4" s="96" t="s">
        <v>0</v>
      </c>
      <c r="B4" s="97" t="s">
        <v>87</v>
      </c>
      <c r="C4" s="97" t="s">
        <v>1</v>
      </c>
      <c r="D4" s="98" t="s">
        <v>2</v>
      </c>
      <c r="E4" s="98" t="s">
        <v>187</v>
      </c>
      <c r="F4" s="99" t="s">
        <v>188</v>
      </c>
    </row>
    <row r="5" spans="1:26" x14ac:dyDescent="0.25">
      <c r="A5" s="117" t="s">
        <v>457</v>
      </c>
      <c r="B5" s="118" t="s">
        <v>458</v>
      </c>
      <c r="C5" s="119"/>
      <c r="D5" s="123"/>
      <c r="E5" s="123"/>
      <c r="F5" s="124"/>
      <c r="G5" s="48">
        <f>SUM(G6:G30)</f>
        <v>4511155</v>
      </c>
    </row>
    <row r="6" spans="1:26" x14ac:dyDescent="0.25">
      <c r="A6" s="117" t="s">
        <v>200</v>
      </c>
      <c r="B6" s="118" t="s">
        <v>105</v>
      </c>
      <c r="C6" s="120"/>
      <c r="D6" s="121">
        <v>1</v>
      </c>
      <c r="E6" s="121"/>
      <c r="F6" s="122">
        <f>D6*E6</f>
        <v>0</v>
      </c>
      <c r="G6" s="36"/>
    </row>
    <row r="7" spans="1:26" x14ac:dyDescent="0.25">
      <c r="A7" s="117">
        <v>1</v>
      </c>
      <c r="B7" s="118" t="s">
        <v>429</v>
      </c>
      <c r="C7" s="120" t="s">
        <v>66</v>
      </c>
      <c r="D7" s="121">
        <v>1</v>
      </c>
      <c r="E7" s="121">
        <v>60000</v>
      </c>
      <c r="F7" s="122">
        <f t="shared" ref="F7:F25" si="0">D7*E7</f>
        <v>60000</v>
      </c>
      <c r="H7" s="8"/>
    </row>
    <row r="8" spans="1:26" x14ac:dyDescent="0.25">
      <c r="A8" s="117">
        <v>2</v>
      </c>
      <c r="B8" s="118" t="s">
        <v>430</v>
      </c>
      <c r="C8" s="120" t="s">
        <v>66</v>
      </c>
      <c r="D8" s="121">
        <v>1</v>
      </c>
      <c r="E8" s="121">
        <v>2500</v>
      </c>
      <c r="F8" s="122">
        <f t="shared" si="0"/>
        <v>2500</v>
      </c>
      <c r="G8" s="42"/>
    </row>
    <row r="9" spans="1:26" x14ac:dyDescent="0.25">
      <c r="A9" s="117">
        <v>3</v>
      </c>
      <c r="B9" s="118" t="s">
        <v>431</v>
      </c>
      <c r="C9" s="120" t="s">
        <v>66</v>
      </c>
      <c r="D9" s="121">
        <v>1</v>
      </c>
      <c r="E9" s="121">
        <v>30000</v>
      </c>
      <c r="F9" s="122">
        <f t="shared" si="0"/>
        <v>30000</v>
      </c>
      <c r="G9" s="42"/>
      <c r="H9" s="19"/>
    </row>
    <row r="10" spans="1:26" ht="27.2" customHeight="1" x14ac:dyDescent="0.25">
      <c r="A10" s="117">
        <v>4</v>
      </c>
      <c r="B10" s="118" t="s">
        <v>432</v>
      </c>
      <c r="C10" s="120" t="s">
        <v>66</v>
      </c>
      <c r="D10" s="121">
        <v>1</v>
      </c>
      <c r="E10" s="121">
        <v>162455</v>
      </c>
      <c r="F10" s="122">
        <f t="shared" si="0"/>
        <v>162455</v>
      </c>
      <c r="G10" s="42">
        <f>SUM(F6:F10)</f>
        <v>254955</v>
      </c>
    </row>
    <row r="11" spans="1:26" x14ac:dyDescent="0.25">
      <c r="A11" s="117" t="s">
        <v>202</v>
      </c>
      <c r="B11" s="118" t="s">
        <v>433</v>
      </c>
      <c r="C11" s="120"/>
      <c r="D11" s="121"/>
      <c r="E11" s="121"/>
      <c r="F11" s="122">
        <f t="shared" si="0"/>
        <v>0</v>
      </c>
      <c r="G11" s="42"/>
    </row>
    <row r="12" spans="1:26" x14ac:dyDescent="0.25">
      <c r="A12" s="117">
        <v>1</v>
      </c>
      <c r="B12" s="118" t="s">
        <v>434</v>
      </c>
      <c r="C12" s="120" t="s">
        <v>66</v>
      </c>
      <c r="D12" s="121">
        <v>1</v>
      </c>
      <c r="E12" s="121">
        <v>114000</v>
      </c>
      <c r="F12" s="122">
        <f t="shared" si="0"/>
        <v>114000</v>
      </c>
      <c r="G12" s="36"/>
      <c r="H12" s="19"/>
      <c r="R12" s="40"/>
      <c r="S12" s="41"/>
    </row>
    <row r="13" spans="1:26" x14ac:dyDescent="0.25">
      <c r="A13" s="117">
        <v>2</v>
      </c>
      <c r="B13" s="118" t="s">
        <v>435</v>
      </c>
      <c r="C13" s="120" t="s">
        <v>66</v>
      </c>
      <c r="D13" s="121">
        <v>1</v>
      </c>
      <c r="E13" s="121">
        <v>90000</v>
      </c>
      <c r="F13" s="122">
        <f t="shared" si="0"/>
        <v>90000</v>
      </c>
      <c r="G13" s="42"/>
    </row>
    <row r="14" spans="1:26" x14ac:dyDescent="0.25">
      <c r="A14" s="117">
        <v>3</v>
      </c>
      <c r="B14" s="118" t="s">
        <v>436</v>
      </c>
      <c r="C14" s="120" t="s">
        <v>66</v>
      </c>
      <c r="D14" s="121">
        <v>1</v>
      </c>
      <c r="E14" s="121">
        <v>1057500</v>
      </c>
      <c r="F14" s="122">
        <f t="shared" si="0"/>
        <v>1057500</v>
      </c>
    </row>
    <row r="15" spans="1:26" x14ac:dyDescent="0.25">
      <c r="A15" s="117">
        <v>4</v>
      </c>
      <c r="B15" s="118" t="s">
        <v>437</v>
      </c>
      <c r="C15" s="120" t="s">
        <v>66</v>
      </c>
      <c r="D15" s="121">
        <v>1</v>
      </c>
      <c r="E15" s="121">
        <v>900000</v>
      </c>
      <c r="F15" s="122">
        <f t="shared" si="0"/>
        <v>900000</v>
      </c>
      <c r="G15" s="42"/>
    </row>
    <row r="16" spans="1:26" x14ac:dyDescent="0.25">
      <c r="A16" s="117">
        <v>5</v>
      </c>
      <c r="B16" s="118" t="s">
        <v>438</v>
      </c>
      <c r="C16" s="120" t="s">
        <v>66</v>
      </c>
      <c r="D16" s="121">
        <v>1</v>
      </c>
      <c r="E16" s="121">
        <v>180000</v>
      </c>
      <c r="F16" s="122">
        <f t="shared" si="0"/>
        <v>180000</v>
      </c>
      <c r="G16" s="42"/>
    </row>
    <row r="17" spans="1:8" x14ac:dyDescent="0.25">
      <c r="A17" s="117">
        <v>6</v>
      </c>
      <c r="B17" s="118" t="s">
        <v>439</v>
      </c>
      <c r="C17" s="120" t="s">
        <v>93</v>
      </c>
      <c r="D17" s="121">
        <v>2</v>
      </c>
      <c r="E17" s="121">
        <v>25000</v>
      </c>
      <c r="F17" s="122">
        <f t="shared" si="0"/>
        <v>50000</v>
      </c>
      <c r="G17" s="42"/>
      <c r="H17" s="19"/>
    </row>
    <row r="18" spans="1:8" x14ac:dyDescent="0.25">
      <c r="A18" s="117">
        <v>7</v>
      </c>
      <c r="B18" s="118" t="s">
        <v>440</v>
      </c>
      <c r="C18" s="120" t="s">
        <v>179</v>
      </c>
      <c r="D18" s="121">
        <v>547</v>
      </c>
      <c r="E18" s="121">
        <v>1100</v>
      </c>
      <c r="F18" s="122">
        <f t="shared" si="0"/>
        <v>601700</v>
      </c>
      <c r="G18" s="42"/>
    </row>
    <row r="19" spans="1:8" x14ac:dyDescent="0.25">
      <c r="A19" s="117">
        <v>8</v>
      </c>
      <c r="B19" s="118" t="s">
        <v>441</v>
      </c>
      <c r="C19" s="120" t="s">
        <v>66</v>
      </c>
      <c r="D19" s="121">
        <v>1</v>
      </c>
      <c r="E19" s="121">
        <v>327000</v>
      </c>
      <c r="F19" s="122">
        <f t="shared" si="0"/>
        <v>327000</v>
      </c>
      <c r="G19" s="42">
        <f>SUM(F12:F19)</f>
        <v>3320200</v>
      </c>
    </row>
    <row r="20" spans="1:8" x14ac:dyDescent="0.25">
      <c r="A20" s="117" t="s">
        <v>203</v>
      </c>
      <c r="B20" s="118" t="s">
        <v>442</v>
      </c>
      <c r="C20" s="120"/>
      <c r="D20" s="121"/>
      <c r="E20" s="121"/>
      <c r="F20" s="122">
        <f t="shared" si="0"/>
        <v>0</v>
      </c>
      <c r="G20" s="42"/>
    </row>
    <row r="21" spans="1:8" x14ac:dyDescent="0.25">
      <c r="A21" s="117">
        <v>1</v>
      </c>
      <c r="B21" s="118" t="s">
        <v>443</v>
      </c>
      <c r="C21" s="120" t="s">
        <v>66</v>
      </c>
      <c r="D21" s="121">
        <v>1</v>
      </c>
      <c r="E21" s="121">
        <v>386000</v>
      </c>
      <c r="F21" s="122">
        <f t="shared" si="0"/>
        <v>386000</v>
      </c>
      <c r="G21" s="42"/>
    </row>
    <row r="22" spans="1:8" x14ac:dyDescent="0.25">
      <c r="A22" s="117">
        <v>2</v>
      </c>
      <c r="B22" s="118" t="s">
        <v>444</v>
      </c>
      <c r="C22" s="120" t="s">
        <v>201</v>
      </c>
      <c r="D22" s="121">
        <v>10</v>
      </c>
      <c r="E22" s="121">
        <v>3000</v>
      </c>
      <c r="F22" s="122">
        <f t="shared" si="0"/>
        <v>30000</v>
      </c>
    </row>
    <row r="23" spans="1:8" x14ac:dyDescent="0.25">
      <c r="A23" s="117">
        <v>3</v>
      </c>
      <c r="B23" s="118" t="s">
        <v>445</v>
      </c>
      <c r="C23" s="120" t="s">
        <v>201</v>
      </c>
      <c r="D23" s="121">
        <v>10</v>
      </c>
      <c r="E23" s="121">
        <v>40000</v>
      </c>
      <c r="F23" s="122">
        <f t="shared" si="0"/>
        <v>400000</v>
      </c>
      <c r="G23" s="42"/>
    </row>
    <row r="24" spans="1:8" x14ac:dyDescent="0.25">
      <c r="A24" s="117">
        <v>4</v>
      </c>
      <c r="B24" s="118" t="s">
        <v>446</v>
      </c>
      <c r="C24" s="120" t="s">
        <v>66</v>
      </c>
      <c r="D24" s="121">
        <v>1</v>
      </c>
      <c r="E24" s="121">
        <v>80000</v>
      </c>
      <c r="F24" s="122">
        <f t="shared" si="0"/>
        <v>80000</v>
      </c>
      <c r="G24" s="42"/>
    </row>
    <row r="25" spans="1:8" x14ac:dyDescent="0.25">
      <c r="A25" s="117">
        <v>5</v>
      </c>
      <c r="B25" s="118" t="s">
        <v>447</v>
      </c>
      <c r="C25" s="120" t="s">
        <v>66</v>
      </c>
      <c r="D25" s="121">
        <v>1</v>
      </c>
      <c r="E25" s="121">
        <v>40000</v>
      </c>
      <c r="F25" s="122">
        <f t="shared" si="0"/>
        <v>40000</v>
      </c>
      <c r="G25" s="42"/>
    </row>
    <row r="26" spans="1:8" x14ac:dyDescent="0.25">
      <c r="A26" s="117" t="s">
        <v>419</v>
      </c>
      <c r="B26" s="118" t="s">
        <v>448</v>
      </c>
      <c r="C26" s="120" t="s">
        <v>66</v>
      </c>
      <c r="D26" s="121">
        <v>1</v>
      </c>
      <c r="E26" s="121"/>
      <c r="F26" s="122"/>
      <c r="G26" s="42"/>
    </row>
    <row r="27" spans="1:8" x14ac:dyDescent="0.25">
      <c r="A27" s="117" t="s">
        <v>449</v>
      </c>
      <c r="B27" s="118" t="s">
        <v>450</v>
      </c>
      <c r="C27" s="120" t="s">
        <v>66</v>
      </c>
      <c r="D27" s="121">
        <v>1</v>
      </c>
      <c r="E27" s="121"/>
      <c r="F27" s="122"/>
      <c r="G27" s="42"/>
    </row>
    <row r="28" spans="1:8" x14ac:dyDescent="0.25">
      <c r="A28" s="117" t="s">
        <v>451</v>
      </c>
      <c r="B28" s="118" t="s">
        <v>452</v>
      </c>
      <c r="C28" s="120" t="s">
        <v>66</v>
      </c>
      <c r="D28" s="121">
        <v>1</v>
      </c>
      <c r="E28" s="121"/>
      <c r="F28" s="122"/>
    </row>
    <row r="29" spans="1:8" x14ac:dyDescent="0.25">
      <c r="A29" s="117" t="s">
        <v>453</v>
      </c>
      <c r="B29" s="118" t="s">
        <v>454</v>
      </c>
      <c r="C29" s="120" t="s">
        <v>66</v>
      </c>
      <c r="D29" s="121">
        <v>1</v>
      </c>
      <c r="E29" s="121"/>
      <c r="F29" s="122"/>
      <c r="G29" s="42"/>
    </row>
    <row r="30" spans="1:8" x14ac:dyDescent="0.25">
      <c r="A30" s="117" t="s">
        <v>455</v>
      </c>
      <c r="B30" s="118" t="s">
        <v>456</v>
      </c>
      <c r="C30" s="120" t="s">
        <v>66</v>
      </c>
      <c r="D30" s="121">
        <v>1</v>
      </c>
      <c r="E30" s="121"/>
      <c r="F30" s="122"/>
      <c r="G30" s="42">
        <f>SUM(F21:F30)</f>
        <v>936000</v>
      </c>
    </row>
    <row r="31" spans="1:8" x14ac:dyDescent="0.25">
      <c r="A31" s="106"/>
      <c r="B31" s="107"/>
      <c r="C31" s="109"/>
      <c r="D31" s="110"/>
      <c r="E31" s="110"/>
      <c r="F31" s="111"/>
      <c r="G31" s="42"/>
    </row>
    <row r="32" spans="1:8" x14ac:dyDescent="0.25">
      <c r="A32" s="106"/>
      <c r="B32" s="107"/>
      <c r="C32" s="109"/>
      <c r="D32" s="110"/>
      <c r="E32" s="110"/>
      <c r="F32" s="111"/>
      <c r="G32" s="42"/>
    </row>
    <row r="33" spans="1:7" x14ac:dyDescent="0.25">
      <c r="A33" s="106"/>
      <c r="B33" s="107"/>
      <c r="C33" s="109"/>
      <c r="D33" s="110"/>
      <c r="E33" s="110"/>
      <c r="F33" s="111"/>
      <c r="G33" s="42"/>
    </row>
    <row r="34" spans="1:7" x14ac:dyDescent="0.25">
      <c r="A34" s="106"/>
      <c r="B34" s="107"/>
      <c r="C34" s="109"/>
      <c r="D34" s="110"/>
      <c r="E34" s="110"/>
      <c r="F34" s="111"/>
      <c r="G34" s="42"/>
    </row>
    <row r="35" spans="1:7" x14ac:dyDescent="0.25">
      <c r="A35" s="106"/>
      <c r="B35" s="108"/>
      <c r="C35" s="106"/>
      <c r="D35" s="111"/>
      <c r="E35" s="111"/>
      <c r="F35" s="111"/>
    </row>
    <row r="36" spans="1:7" x14ac:dyDescent="0.25">
      <c r="A36" s="106"/>
      <c r="B36" s="108"/>
      <c r="C36" s="106"/>
      <c r="D36" s="111"/>
      <c r="E36" s="111"/>
      <c r="F36" s="111"/>
    </row>
    <row r="37" spans="1:7" x14ac:dyDescent="0.25">
      <c r="A37" s="106"/>
      <c r="B37" s="108"/>
      <c r="C37" s="106"/>
      <c r="D37" s="111"/>
      <c r="E37" s="111"/>
      <c r="F37" s="111"/>
    </row>
    <row r="38" spans="1:7" x14ac:dyDescent="0.25">
      <c r="A38" s="106"/>
      <c r="B38" s="108"/>
      <c r="C38" s="106"/>
      <c r="D38" s="111"/>
      <c r="E38" s="111"/>
      <c r="F38" s="111"/>
      <c r="G38" s="42"/>
    </row>
    <row r="39" spans="1:7" x14ac:dyDescent="0.25">
      <c r="A39" s="106"/>
      <c r="B39" s="108"/>
      <c r="C39" s="106"/>
      <c r="D39" s="111"/>
      <c r="E39" s="111"/>
      <c r="F39" s="111"/>
      <c r="G39" s="42"/>
    </row>
    <row r="40" spans="1:7" x14ac:dyDescent="0.25">
      <c r="A40" s="106"/>
      <c r="B40" s="108"/>
      <c r="C40" s="106"/>
      <c r="D40" s="111"/>
      <c r="E40" s="111"/>
      <c r="F40" s="111"/>
      <c r="G40" s="42">
        <f>SUM(F31:F37)</f>
        <v>0</v>
      </c>
    </row>
    <row r="41" spans="1:7" x14ac:dyDescent="0.25">
      <c r="A41" s="106"/>
      <c r="B41" s="108"/>
      <c r="C41" s="106"/>
      <c r="D41" s="111"/>
      <c r="E41" s="111"/>
      <c r="F41" s="111"/>
    </row>
    <row r="42" spans="1:7" x14ac:dyDescent="0.25">
      <c r="A42" s="106"/>
      <c r="B42" s="108"/>
      <c r="C42" s="106"/>
      <c r="D42" s="111"/>
      <c r="E42" s="111"/>
      <c r="F42" s="111"/>
    </row>
    <row r="43" spans="1:7" x14ac:dyDescent="0.25">
      <c r="A43" s="106"/>
      <c r="B43" s="108"/>
      <c r="C43" s="106"/>
      <c r="D43" s="111"/>
      <c r="E43" s="111"/>
      <c r="F43" s="111"/>
    </row>
    <row r="44" spans="1:7" x14ac:dyDescent="0.25">
      <c r="A44" s="106"/>
      <c r="B44" s="108"/>
      <c r="C44" s="106"/>
      <c r="D44" s="111"/>
      <c r="E44" s="111"/>
      <c r="F44" s="111"/>
    </row>
    <row r="45" spans="1:7" x14ac:dyDescent="0.25">
      <c r="A45" s="106"/>
      <c r="B45" s="108"/>
      <c r="C45" s="106"/>
      <c r="D45" s="111"/>
      <c r="E45" s="111"/>
      <c r="F45" s="111"/>
    </row>
    <row r="46" spans="1:7" x14ac:dyDescent="0.25">
      <c r="A46" s="106"/>
      <c r="B46" s="108"/>
      <c r="C46" s="106"/>
      <c r="D46" s="111"/>
      <c r="E46" s="111"/>
      <c r="F46" s="111"/>
    </row>
    <row r="47" spans="1:7" x14ac:dyDescent="0.25">
      <c r="A47" s="106"/>
      <c r="B47" s="108"/>
      <c r="C47" s="106"/>
      <c r="D47" s="111"/>
      <c r="E47" s="111"/>
      <c r="F47" s="111"/>
    </row>
    <row r="48" spans="1:7" x14ac:dyDescent="0.25">
      <c r="A48" s="106"/>
      <c r="B48" s="108"/>
      <c r="C48" s="106"/>
      <c r="D48" s="111"/>
      <c r="E48" s="111"/>
      <c r="F48" s="111"/>
    </row>
    <row r="49" spans="1:7" x14ac:dyDescent="0.25">
      <c r="A49" s="106"/>
      <c r="B49" s="108"/>
      <c r="C49" s="106"/>
      <c r="D49" s="111"/>
      <c r="E49" s="111"/>
      <c r="F49" s="111"/>
    </row>
    <row r="50" spans="1:7" x14ac:dyDescent="0.25">
      <c r="A50" s="106"/>
      <c r="B50" s="108"/>
      <c r="C50" s="106"/>
      <c r="D50" s="111"/>
      <c r="E50" s="111"/>
      <c r="F50" s="111"/>
      <c r="G50" s="42"/>
    </row>
    <row r="51" spans="1:7" x14ac:dyDescent="0.25">
      <c r="A51" s="106"/>
      <c r="B51" s="108"/>
      <c r="C51" s="106"/>
      <c r="D51" s="111"/>
      <c r="E51" s="111"/>
      <c r="F51" s="111"/>
    </row>
    <row r="52" spans="1:7" x14ac:dyDescent="0.25">
      <c r="A52" s="106"/>
      <c r="B52" s="108"/>
      <c r="C52" s="106"/>
      <c r="D52" s="111"/>
      <c r="E52" s="111"/>
      <c r="F52" s="111"/>
    </row>
    <row r="53" spans="1:7" x14ac:dyDescent="0.25">
      <c r="A53" s="106"/>
      <c r="B53" s="108"/>
      <c r="C53" s="106"/>
      <c r="D53" s="111"/>
      <c r="E53" s="111"/>
      <c r="F53" s="111"/>
    </row>
    <row r="54" spans="1:7" x14ac:dyDescent="0.25">
      <c r="A54" s="106"/>
      <c r="B54" s="108"/>
      <c r="C54" s="106"/>
      <c r="D54" s="111"/>
      <c r="E54" s="111"/>
      <c r="F54" s="111"/>
    </row>
    <row r="55" spans="1:7" x14ac:dyDescent="0.25">
      <c r="A55" s="106"/>
      <c r="B55" s="108"/>
      <c r="C55" s="106"/>
      <c r="D55" s="111"/>
      <c r="E55" s="111"/>
      <c r="F55" s="111"/>
    </row>
    <row r="56" spans="1:7" x14ac:dyDescent="0.25">
      <c r="A56" s="106"/>
      <c r="B56" s="108"/>
      <c r="C56" s="106"/>
      <c r="D56" s="111"/>
      <c r="E56" s="111"/>
      <c r="F56" s="111"/>
    </row>
    <row r="57" spans="1:7" x14ac:dyDescent="0.25">
      <c r="A57" s="106"/>
      <c r="B57" s="108"/>
      <c r="C57" s="106"/>
      <c r="D57" s="111"/>
      <c r="E57" s="111"/>
      <c r="F57" s="111"/>
    </row>
    <row r="58" spans="1:7" x14ac:dyDescent="0.25">
      <c r="A58" s="106"/>
      <c r="B58" s="108"/>
      <c r="C58" s="106"/>
      <c r="D58" s="111"/>
      <c r="E58" s="111"/>
      <c r="F58" s="111"/>
    </row>
    <row r="59" spans="1:7" x14ac:dyDescent="0.25">
      <c r="A59" s="106"/>
      <c r="B59" s="108"/>
      <c r="C59" s="106"/>
      <c r="D59" s="111"/>
      <c r="E59" s="111"/>
      <c r="F59" s="111"/>
    </row>
    <row r="60" spans="1:7" x14ac:dyDescent="0.25">
      <c r="A60" s="106"/>
      <c r="B60" s="108"/>
      <c r="C60" s="106"/>
      <c r="D60" s="111"/>
      <c r="E60" s="111"/>
      <c r="F60" s="111"/>
    </row>
    <row r="61" spans="1:7" x14ac:dyDescent="0.25">
      <c r="A61" s="106"/>
      <c r="B61" s="108"/>
      <c r="C61" s="106"/>
      <c r="D61" s="111"/>
      <c r="E61" s="111"/>
      <c r="F61" s="111"/>
    </row>
    <row r="62" spans="1:7" x14ac:dyDescent="0.25">
      <c r="A62" s="106"/>
      <c r="B62" s="108"/>
      <c r="C62" s="106"/>
      <c r="D62" s="111"/>
      <c r="E62" s="111"/>
      <c r="F62" s="111"/>
    </row>
    <row r="63" spans="1:7" x14ac:dyDescent="0.25">
      <c r="A63" s="106"/>
      <c r="B63" s="108"/>
      <c r="C63" s="106"/>
      <c r="D63" s="111"/>
      <c r="E63" s="111"/>
      <c r="F63" s="111"/>
    </row>
    <row r="64" spans="1:7" x14ac:dyDescent="0.25">
      <c r="A64" s="106"/>
      <c r="B64" s="108"/>
      <c r="C64" s="106"/>
      <c r="D64" s="111"/>
      <c r="E64" s="111"/>
      <c r="F64" s="111"/>
      <c r="G64" s="42"/>
    </row>
    <row r="65" spans="1:7" x14ac:dyDescent="0.25">
      <c r="A65" s="106"/>
      <c r="B65" s="108"/>
      <c r="C65" s="106"/>
      <c r="D65" s="111"/>
      <c r="E65" s="111"/>
      <c r="F65" s="111"/>
      <c r="G65" s="42"/>
    </row>
    <row r="66" spans="1:7" x14ac:dyDescent="0.25">
      <c r="A66" s="106"/>
      <c r="B66" s="108"/>
      <c r="C66" s="106"/>
      <c r="D66" s="111"/>
      <c r="E66" s="111"/>
      <c r="F66" s="111"/>
      <c r="G66" s="42"/>
    </row>
    <row r="67" spans="1:7" x14ac:dyDescent="0.25">
      <c r="A67" s="106"/>
      <c r="B67" s="108"/>
      <c r="C67" s="106"/>
      <c r="D67" s="111"/>
      <c r="E67" s="111"/>
      <c r="F67" s="111"/>
      <c r="G67" s="42">
        <f>SUM(F39:F64)</f>
        <v>0</v>
      </c>
    </row>
    <row r="68" spans="1:7" x14ac:dyDescent="0.25">
      <c r="A68" s="106"/>
      <c r="B68" s="108"/>
      <c r="C68" s="106"/>
      <c r="D68" s="111"/>
      <c r="E68" s="111"/>
      <c r="F68" s="111"/>
    </row>
    <row r="69" spans="1:7" x14ac:dyDescent="0.25">
      <c r="A69" s="106"/>
      <c r="B69" s="108"/>
      <c r="C69" s="106"/>
      <c r="D69" s="111"/>
      <c r="E69" s="111"/>
      <c r="F69" s="111"/>
    </row>
    <row r="70" spans="1:7" x14ac:dyDescent="0.25">
      <c r="A70" s="106"/>
      <c r="B70" s="108"/>
      <c r="C70" s="106"/>
      <c r="D70" s="111"/>
      <c r="E70" s="111"/>
      <c r="F70" s="111"/>
    </row>
    <row r="71" spans="1:7" x14ac:dyDescent="0.25">
      <c r="A71" s="106"/>
      <c r="B71" s="108"/>
      <c r="C71" s="106"/>
      <c r="D71" s="111"/>
      <c r="E71" s="111"/>
      <c r="F71" s="111"/>
    </row>
    <row r="72" spans="1:7" x14ac:dyDescent="0.25">
      <c r="A72" s="106"/>
      <c r="B72" s="108"/>
      <c r="C72" s="106"/>
      <c r="D72" s="111"/>
      <c r="E72" s="111"/>
      <c r="F72" s="111"/>
    </row>
    <row r="73" spans="1:7" x14ac:dyDescent="0.25">
      <c r="A73" s="106"/>
      <c r="B73" s="108"/>
      <c r="C73" s="106"/>
      <c r="D73" s="111"/>
      <c r="E73" s="111"/>
      <c r="F73" s="111"/>
    </row>
    <row r="74" spans="1:7" x14ac:dyDescent="0.25">
      <c r="A74" s="106"/>
      <c r="B74" s="108"/>
      <c r="C74" s="106"/>
      <c r="D74" s="111"/>
      <c r="E74" s="111"/>
      <c r="F74" s="111"/>
    </row>
    <row r="75" spans="1:7" x14ac:dyDescent="0.25">
      <c r="A75" s="106"/>
      <c r="B75" s="108"/>
      <c r="C75" s="106"/>
      <c r="D75" s="111"/>
      <c r="E75" s="111"/>
      <c r="F75" s="111"/>
    </row>
    <row r="76" spans="1:7" x14ac:dyDescent="0.25">
      <c r="A76" s="106"/>
      <c r="B76" s="108"/>
      <c r="C76" s="106"/>
      <c r="D76" s="111"/>
      <c r="E76" s="111"/>
      <c r="F76" s="111"/>
    </row>
    <row r="77" spans="1:7" x14ac:dyDescent="0.25">
      <c r="A77" s="106"/>
      <c r="B77" s="108"/>
      <c r="C77" s="106"/>
      <c r="D77" s="111"/>
      <c r="E77" s="111"/>
      <c r="F77" s="111"/>
      <c r="G77" s="42"/>
    </row>
    <row r="78" spans="1:7" x14ac:dyDescent="0.25">
      <c r="A78" s="106"/>
      <c r="B78" s="108"/>
      <c r="C78" s="106"/>
      <c r="D78" s="111"/>
      <c r="E78" s="111"/>
      <c r="F78" s="111"/>
      <c r="G78" s="42">
        <f>SUM(F66:F75)</f>
        <v>0</v>
      </c>
    </row>
    <row r="79" spans="1:7" x14ac:dyDescent="0.25">
      <c r="A79" s="106"/>
      <c r="B79" s="108"/>
      <c r="C79" s="106"/>
      <c r="D79" s="111"/>
      <c r="E79" s="111"/>
      <c r="F79" s="111"/>
    </row>
    <row r="80" spans="1:7" x14ac:dyDescent="0.25">
      <c r="A80" s="106"/>
      <c r="B80" s="108"/>
      <c r="C80" s="106"/>
      <c r="D80" s="111"/>
      <c r="E80" s="111"/>
      <c r="F80" s="111"/>
    </row>
    <row r="81" spans="1:7" x14ac:dyDescent="0.25">
      <c r="A81" s="106"/>
      <c r="B81" s="108"/>
      <c r="C81" s="106"/>
      <c r="D81" s="111"/>
      <c r="E81" s="111"/>
      <c r="F81" s="111"/>
    </row>
    <row r="82" spans="1:7" x14ac:dyDescent="0.25">
      <c r="A82" s="106"/>
      <c r="B82" s="108"/>
      <c r="C82" s="106"/>
      <c r="D82" s="111"/>
      <c r="E82" s="111"/>
      <c r="F82" s="111"/>
    </row>
    <row r="85" spans="1:7" x14ac:dyDescent="0.25">
      <c r="G85" s="42">
        <f>SUM(F77:F82)</f>
        <v>0</v>
      </c>
    </row>
  </sheetData>
  <mergeCells count="4">
    <mergeCell ref="A3:E3"/>
    <mergeCell ref="H1:L1"/>
    <mergeCell ref="H2:L2"/>
    <mergeCell ref="H3:L3"/>
  </mergeCells>
  <phoneticPr fontId="4" type="noConversion"/>
  <pageMargins left="0.75" right="0.75" top="1" bottom="1" header="0.5" footer="0.5"/>
  <pageSetup paperSize="9" orientation="portrait" verticalDpi="12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indexed="43"/>
  </sheetPr>
  <dimension ref="A1:V153"/>
  <sheetViews>
    <sheetView workbookViewId="0">
      <selection activeCell="E3" sqref="E3"/>
    </sheetView>
  </sheetViews>
  <sheetFormatPr defaultRowHeight="16.5" x14ac:dyDescent="0.25"/>
  <cols>
    <col min="1" max="1" width="12.5" customWidth="1"/>
    <col min="2" max="2" width="12.5" style="24" customWidth="1"/>
    <col min="3" max="3" width="12.25" style="24" customWidth="1"/>
    <col min="4" max="4" width="11.625" bestFit="1" customWidth="1"/>
    <col min="5" max="5" width="13.125" bestFit="1" customWidth="1"/>
    <col min="6" max="6" width="13.25" bestFit="1" customWidth="1"/>
    <col min="7" max="7" width="13.125" bestFit="1" customWidth="1"/>
    <col min="8" max="8" width="15.625" bestFit="1" customWidth="1"/>
    <col min="9" max="9" width="13.125" bestFit="1" customWidth="1"/>
    <col min="10" max="10" width="16.125" customWidth="1"/>
    <col min="11" max="13" width="13.125" bestFit="1" customWidth="1"/>
    <col min="14" max="14" width="13.25" bestFit="1" customWidth="1"/>
    <col min="15" max="15" width="13.125" bestFit="1" customWidth="1"/>
    <col min="16" max="16" width="12.75" bestFit="1" customWidth="1"/>
    <col min="17" max="18" width="12" bestFit="1" customWidth="1"/>
    <col min="19" max="19" width="13.25" bestFit="1" customWidth="1"/>
    <col min="20" max="24" width="13" bestFit="1" customWidth="1"/>
    <col min="25" max="25" width="13.25" bestFit="1" customWidth="1"/>
    <col min="26" max="31" width="13.125" bestFit="1" customWidth="1"/>
    <col min="32" max="32" width="13.25" bestFit="1" customWidth="1"/>
    <col min="33" max="39" width="13.125" bestFit="1" customWidth="1"/>
    <col min="40" max="40" width="13.25" bestFit="1" customWidth="1"/>
    <col min="41" max="46" width="13.125" bestFit="1" customWidth="1"/>
    <col min="47" max="47" width="12.75" bestFit="1" customWidth="1"/>
    <col min="48" max="48" width="12" bestFit="1" customWidth="1"/>
    <col min="49" max="49" width="13.25" bestFit="1" customWidth="1"/>
    <col min="50" max="50" width="12" bestFit="1" customWidth="1"/>
    <col min="51" max="55" width="13" bestFit="1" customWidth="1"/>
    <col min="56" max="58" width="13.125" bestFit="1" customWidth="1"/>
    <col min="59" max="59" width="13.25" bestFit="1" customWidth="1"/>
    <col min="60" max="69" width="13.125" bestFit="1" customWidth="1"/>
    <col min="70" max="70" width="13.25" bestFit="1" customWidth="1"/>
    <col min="71" max="76" width="13.125" bestFit="1" customWidth="1"/>
    <col min="77" max="77" width="12.75" bestFit="1" customWidth="1"/>
    <col min="78" max="80" width="12" bestFit="1" customWidth="1"/>
    <col min="81" max="85" width="13" bestFit="1" customWidth="1"/>
    <col min="86" max="94" width="13.125" bestFit="1" customWidth="1"/>
    <col min="95" max="95" width="13.25" bestFit="1" customWidth="1"/>
    <col min="96" max="107" width="13.125" bestFit="1" customWidth="1"/>
    <col min="108" max="108" width="12.75" bestFit="1" customWidth="1"/>
    <col min="109" max="109" width="12.125" bestFit="1" customWidth="1"/>
    <col min="110" max="111" width="12" bestFit="1" customWidth="1"/>
    <col min="112" max="116" width="13" bestFit="1" customWidth="1"/>
    <col min="117" max="118" width="13.125" bestFit="1" customWidth="1"/>
    <col min="119" max="123" width="13" bestFit="1" customWidth="1"/>
    <col min="124" max="124" width="12.875" bestFit="1" customWidth="1"/>
    <col min="125" max="138" width="12.75" bestFit="1" customWidth="1"/>
    <col min="139" max="139" width="11.625" bestFit="1" customWidth="1"/>
    <col min="140" max="140" width="11.75" bestFit="1" customWidth="1"/>
    <col min="141" max="147" width="11.625" bestFit="1" customWidth="1"/>
    <col min="148" max="177" width="12.75" bestFit="1" customWidth="1"/>
    <col min="178" max="184" width="13.875" bestFit="1" customWidth="1"/>
    <col min="194" max="194" width="11.625" bestFit="1" customWidth="1"/>
    <col min="214" max="214" width="11.625" bestFit="1" customWidth="1"/>
    <col min="235" max="235" width="12.75" bestFit="1" customWidth="1"/>
  </cols>
  <sheetData>
    <row r="1" spans="1:22" x14ac:dyDescent="0.25">
      <c r="B1"/>
      <c r="C1"/>
      <c r="D1" t="s">
        <v>79</v>
      </c>
      <c r="E1" t="s">
        <v>78</v>
      </c>
      <c r="G1" t="s">
        <v>161</v>
      </c>
      <c r="H1" s="23">
        <f>基本資料!A2</f>
        <v>45803</v>
      </c>
      <c r="I1" t="s">
        <v>162</v>
      </c>
      <c r="J1" s="23">
        <f>基本資料!B2</f>
        <v>45922</v>
      </c>
      <c r="K1" t="str">
        <f>J1-H1+1&amp;"日曆天"</f>
        <v>120日曆天</v>
      </c>
      <c r="L1" s="49" t="s">
        <v>163</v>
      </c>
      <c r="M1">
        <v>10</v>
      </c>
      <c r="N1">
        <v>11</v>
      </c>
      <c r="O1">
        <v>12</v>
      </c>
      <c r="P1">
        <v>13</v>
      </c>
    </row>
    <row r="2" spans="1:22" x14ac:dyDescent="0.25">
      <c r="A2" t="s">
        <v>80</v>
      </c>
      <c r="B2"/>
      <c r="C2"/>
      <c r="D2" s="60">
        <f>SUM(D4:D18)</f>
        <v>100</v>
      </c>
      <c r="E2" s="51">
        <f>SUM(E4:E18)</f>
        <v>120</v>
      </c>
      <c r="L2" s="52">
        <v>9</v>
      </c>
      <c r="V2">
        <v>1</v>
      </c>
    </row>
    <row r="3" spans="1:22" x14ac:dyDescent="0.25">
      <c r="A3" s="53" t="s">
        <v>81</v>
      </c>
      <c r="B3" s="49" t="s">
        <v>82</v>
      </c>
      <c r="C3" s="49" t="s">
        <v>83</v>
      </c>
      <c r="D3" s="49" t="s">
        <v>84</v>
      </c>
      <c r="E3" s="49" t="s">
        <v>85</v>
      </c>
      <c r="F3" s="49" t="s">
        <v>86</v>
      </c>
      <c r="G3" s="49" t="s">
        <v>164</v>
      </c>
      <c r="H3" s="49" t="s">
        <v>165</v>
      </c>
    </row>
    <row r="4" spans="1:22" ht="16.5" customHeight="1" x14ac:dyDescent="0.25">
      <c r="A4" s="54">
        <v>1</v>
      </c>
      <c r="B4" s="126">
        <v>45803</v>
      </c>
      <c r="C4" s="126">
        <f t="shared" ref="C4:C14" si="0">B4 + 9</f>
        <v>45812</v>
      </c>
      <c r="D4" s="59">
        <v>1.1499999999999999</v>
      </c>
      <c r="E4" s="51">
        <f>C4-B4+1</f>
        <v>10</v>
      </c>
      <c r="F4" s="50">
        <f>D4/E4</f>
        <v>0.11499999999999999</v>
      </c>
      <c r="G4" s="55">
        <f>E4</f>
        <v>10</v>
      </c>
      <c r="H4" s="55">
        <f>D4</f>
        <v>1.1499999999999999</v>
      </c>
      <c r="I4" s="56">
        <v>0.96</v>
      </c>
      <c r="J4" s="59">
        <v>1.3520000000000001</v>
      </c>
    </row>
    <row r="5" spans="1:22" ht="16.5" customHeight="1" x14ac:dyDescent="0.25">
      <c r="A5" s="54">
        <v>2</v>
      </c>
      <c r="B5" s="126">
        <f t="shared" ref="B5:B15" si="1">C4+1</f>
        <v>45813</v>
      </c>
      <c r="C5" s="126">
        <f t="shared" si="0"/>
        <v>45822</v>
      </c>
      <c r="D5" s="59">
        <v>2.4</v>
      </c>
      <c r="E5" s="51">
        <f t="shared" ref="E5:E15" si="2">C5-B5+1</f>
        <v>10</v>
      </c>
      <c r="F5" s="50">
        <f t="shared" ref="F5:F15" si="3">D5/E5</f>
        <v>0.24</v>
      </c>
      <c r="G5" s="55">
        <f>G4+E5</f>
        <v>20</v>
      </c>
      <c r="H5" s="55">
        <f>H4+D5</f>
        <v>3.55</v>
      </c>
      <c r="I5" s="56">
        <v>2.6</v>
      </c>
      <c r="J5" s="59">
        <v>1.5720000000000001</v>
      </c>
    </row>
    <row r="6" spans="1:22" x14ac:dyDescent="0.25">
      <c r="A6" s="54">
        <v>3</v>
      </c>
      <c r="B6" s="126">
        <f t="shared" si="1"/>
        <v>45823</v>
      </c>
      <c r="C6" s="126">
        <f t="shared" si="0"/>
        <v>45832</v>
      </c>
      <c r="D6" s="59">
        <v>2.5499999999999998</v>
      </c>
      <c r="E6" s="51">
        <f t="shared" si="2"/>
        <v>10</v>
      </c>
      <c r="F6" s="50">
        <f t="shared" si="3"/>
        <v>0.255</v>
      </c>
      <c r="G6" s="55">
        <f t="shared" ref="G6:G15" si="4">G5+E6</f>
        <v>30</v>
      </c>
      <c r="H6" s="55">
        <f t="shared" ref="H6:H15" si="5">H5+D6</f>
        <v>6.1</v>
      </c>
      <c r="I6" s="56">
        <v>5.38</v>
      </c>
      <c r="J6" s="59">
        <v>2.3520000000000003</v>
      </c>
    </row>
    <row r="7" spans="1:22" x14ac:dyDescent="0.25">
      <c r="A7" s="54">
        <v>4</v>
      </c>
      <c r="B7" s="126">
        <f t="shared" si="1"/>
        <v>45833</v>
      </c>
      <c r="C7" s="126">
        <f t="shared" si="0"/>
        <v>45842</v>
      </c>
      <c r="D7" s="59">
        <v>4.49</v>
      </c>
      <c r="E7" s="51">
        <f t="shared" si="2"/>
        <v>10</v>
      </c>
      <c r="F7" s="50">
        <f t="shared" si="3"/>
        <v>0.44900000000000001</v>
      </c>
      <c r="G7" s="55">
        <f t="shared" si="4"/>
        <v>40</v>
      </c>
      <c r="H7" s="55">
        <f t="shared" si="5"/>
        <v>10.59</v>
      </c>
      <c r="I7" s="56">
        <v>7.23</v>
      </c>
      <c r="J7" s="59">
        <v>2.6520000000000001</v>
      </c>
    </row>
    <row r="8" spans="1:22" x14ac:dyDescent="0.25">
      <c r="A8" s="54">
        <v>5</v>
      </c>
      <c r="B8" s="126">
        <f t="shared" si="1"/>
        <v>45843</v>
      </c>
      <c r="C8" s="126">
        <f t="shared" si="0"/>
        <v>45852</v>
      </c>
      <c r="D8" s="59">
        <v>12.11</v>
      </c>
      <c r="E8" s="51">
        <f t="shared" si="2"/>
        <v>10</v>
      </c>
      <c r="F8" s="50">
        <f t="shared" si="3"/>
        <v>1.2109999999999999</v>
      </c>
      <c r="G8" s="55">
        <f t="shared" si="4"/>
        <v>50</v>
      </c>
      <c r="H8" s="55">
        <f t="shared" si="5"/>
        <v>22.7</v>
      </c>
      <c r="I8" s="56">
        <v>10.99</v>
      </c>
      <c r="J8" s="59">
        <v>3.3519999999999994</v>
      </c>
    </row>
    <row r="9" spans="1:22" x14ac:dyDescent="0.25">
      <c r="A9" s="54">
        <v>6</v>
      </c>
      <c r="B9" s="126">
        <f t="shared" si="1"/>
        <v>45853</v>
      </c>
      <c r="C9" s="126">
        <f t="shared" si="0"/>
        <v>45862</v>
      </c>
      <c r="D9" s="59">
        <v>11.47</v>
      </c>
      <c r="E9" s="51">
        <f t="shared" si="2"/>
        <v>10</v>
      </c>
      <c r="F9" s="50">
        <f t="shared" si="3"/>
        <v>1.147</v>
      </c>
      <c r="G9" s="55">
        <f t="shared" si="4"/>
        <v>60</v>
      </c>
      <c r="H9" s="55">
        <f t="shared" si="5"/>
        <v>34.17</v>
      </c>
      <c r="I9" s="56">
        <v>17.43</v>
      </c>
      <c r="J9" s="59">
        <v>4.6519999999999992</v>
      </c>
    </row>
    <row r="10" spans="1:22" x14ac:dyDescent="0.25">
      <c r="A10" s="54">
        <v>7</v>
      </c>
      <c r="B10" s="126">
        <f t="shared" si="1"/>
        <v>45863</v>
      </c>
      <c r="C10" s="126">
        <f t="shared" si="0"/>
        <v>45872</v>
      </c>
      <c r="D10" s="59">
        <v>9.9499999999999993</v>
      </c>
      <c r="E10" s="51">
        <f t="shared" si="2"/>
        <v>10</v>
      </c>
      <c r="F10" s="50">
        <f t="shared" si="3"/>
        <v>0.99499999999999988</v>
      </c>
      <c r="G10" s="55">
        <f t="shared" si="4"/>
        <v>70</v>
      </c>
      <c r="H10" s="55">
        <f t="shared" si="5"/>
        <v>44.120000000000005</v>
      </c>
      <c r="I10" s="56">
        <v>23.24</v>
      </c>
      <c r="J10" s="59">
        <v>5.8520000000000003</v>
      </c>
    </row>
    <row r="11" spans="1:22" x14ac:dyDescent="0.25">
      <c r="A11" s="54">
        <v>8</v>
      </c>
      <c r="B11" s="126">
        <f t="shared" si="1"/>
        <v>45873</v>
      </c>
      <c r="C11" s="126">
        <f t="shared" si="0"/>
        <v>45882</v>
      </c>
      <c r="D11" s="59">
        <v>9.67</v>
      </c>
      <c r="E11" s="51">
        <f t="shared" si="2"/>
        <v>10</v>
      </c>
      <c r="F11" s="50">
        <f t="shared" si="3"/>
        <v>0.96699999999999997</v>
      </c>
      <c r="G11" s="55">
        <f t="shared" si="4"/>
        <v>80</v>
      </c>
      <c r="H11" s="55">
        <f t="shared" si="5"/>
        <v>53.790000000000006</v>
      </c>
      <c r="I11" s="56">
        <v>30.63</v>
      </c>
      <c r="J11" s="59">
        <v>5.8520000000000003</v>
      </c>
    </row>
    <row r="12" spans="1:22" x14ac:dyDescent="0.25">
      <c r="A12" s="54">
        <v>9</v>
      </c>
      <c r="B12" s="126">
        <f t="shared" si="1"/>
        <v>45883</v>
      </c>
      <c r="C12" s="126">
        <f t="shared" si="0"/>
        <v>45892</v>
      </c>
      <c r="D12" s="59">
        <v>13.93</v>
      </c>
      <c r="E12" s="51">
        <f t="shared" si="2"/>
        <v>10</v>
      </c>
      <c r="F12" s="50">
        <f t="shared" si="3"/>
        <v>1.393</v>
      </c>
      <c r="G12" s="55">
        <f t="shared" si="4"/>
        <v>90</v>
      </c>
      <c r="H12" s="55">
        <f t="shared" si="5"/>
        <v>67.72</v>
      </c>
      <c r="I12" s="56">
        <v>40.08</v>
      </c>
      <c r="J12" s="59">
        <v>5.952</v>
      </c>
    </row>
    <row r="13" spans="1:22" x14ac:dyDescent="0.25">
      <c r="A13" s="50">
        <v>10</v>
      </c>
      <c r="B13" s="126">
        <f t="shared" si="1"/>
        <v>45893</v>
      </c>
      <c r="C13" s="126">
        <f t="shared" si="0"/>
        <v>45902</v>
      </c>
      <c r="D13" s="59">
        <v>14.62</v>
      </c>
      <c r="E13" s="51">
        <f t="shared" si="2"/>
        <v>10</v>
      </c>
      <c r="F13" s="50">
        <f t="shared" si="3"/>
        <v>1.462</v>
      </c>
      <c r="G13" s="55">
        <f t="shared" si="4"/>
        <v>100</v>
      </c>
      <c r="H13" s="55">
        <f t="shared" si="5"/>
        <v>82.34</v>
      </c>
      <c r="I13" s="56">
        <v>49.87</v>
      </c>
      <c r="J13" s="59">
        <v>5.952</v>
      </c>
    </row>
    <row r="14" spans="1:22" x14ac:dyDescent="0.25">
      <c r="A14" s="50">
        <v>11</v>
      </c>
      <c r="B14" s="126">
        <f t="shared" si="1"/>
        <v>45903</v>
      </c>
      <c r="C14" s="126">
        <f t="shared" si="0"/>
        <v>45912</v>
      </c>
      <c r="D14" s="59">
        <v>11.38</v>
      </c>
      <c r="E14" s="51">
        <f t="shared" si="2"/>
        <v>10</v>
      </c>
      <c r="F14" s="50">
        <f t="shared" si="3"/>
        <v>1.1380000000000001</v>
      </c>
      <c r="G14" s="55">
        <f t="shared" si="4"/>
        <v>110</v>
      </c>
      <c r="H14" s="55">
        <f t="shared" si="5"/>
        <v>93.72</v>
      </c>
      <c r="I14" s="56">
        <v>59.97</v>
      </c>
      <c r="J14" s="59">
        <v>5.952</v>
      </c>
    </row>
    <row r="15" spans="1:22" x14ac:dyDescent="0.25">
      <c r="A15" s="50">
        <v>12</v>
      </c>
      <c r="B15" s="126">
        <f t="shared" si="1"/>
        <v>45913</v>
      </c>
      <c r="C15" s="126">
        <v>45922</v>
      </c>
      <c r="D15" s="59">
        <v>6.28</v>
      </c>
      <c r="E15" s="51">
        <f t="shared" si="2"/>
        <v>10</v>
      </c>
      <c r="F15" s="50">
        <f t="shared" si="3"/>
        <v>0.628</v>
      </c>
      <c r="G15" s="55">
        <f t="shared" si="4"/>
        <v>120</v>
      </c>
      <c r="H15" s="55">
        <f t="shared" si="5"/>
        <v>100</v>
      </c>
      <c r="I15" s="56">
        <v>62.65</v>
      </c>
      <c r="J15" s="59">
        <v>6.7519999999999998</v>
      </c>
    </row>
    <row r="16" spans="1:22" x14ac:dyDescent="0.25">
      <c r="A16" s="50"/>
      <c r="B16" s="126"/>
      <c r="C16" s="126"/>
      <c r="D16" s="59"/>
      <c r="E16" s="51"/>
      <c r="F16" s="50"/>
      <c r="G16" s="55"/>
      <c r="H16" s="55"/>
      <c r="I16" s="56"/>
      <c r="J16" s="59"/>
    </row>
    <row r="17" spans="1:10" x14ac:dyDescent="0.25">
      <c r="A17" s="50"/>
      <c r="B17" s="126"/>
      <c r="C17" s="126"/>
      <c r="D17" s="59"/>
      <c r="E17" s="51"/>
      <c r="F17" s="50"/>
      <c r="G17" s="55"/>
      <c r="H17" s="55"/>
      <c r="I17" s="56"/>
      <c r="J17" s="59"/>
    </row>
    <row r="18" spans="1:10" x14ac:dyDescent="0.25">
      <c r="A18" s="50"/>
      <c r="B18" s="126"/>
      <c r="C18" s="126"/>
      <c r="D18" s="59"/>
      <c r="E18" s="51"/>
      <c r="F18" s="50"/>
      <c r="G18" s="55"/>
      <c r="H18" s="55"/>
      <c r="I18" s="56"/>
      <c r="J18" s="59"/>
    </row>
    <row r="19" spans="1:10" x14ac:dyDescent="0.25">
      <c r="A19" s="50"/>
      <c r="B19" s="126"/>
      <c r="C19" s="127"/>
      <c r="D19" s="56"/>
      <c r="E19" s="51"/>
      <c r="F19" s="50"/>
      <c r="G19" s="55"/>
      <c r="H19" s="55"/>
      <c r="I19" s="56"/>
      <c r="J19" s="59"/>
    </row>
    <row r="20" spans="1:10" x14ac:dyDescent="0.25">
      <c r="A20" s="50"/>
      <c r="B20" s="126"/>
      <c r="C20" s="127"/>
      <c r="D20" s="56"/>
      <c r="E20" s="51"/>
      <c r="F20" s="50"/>
      <c r="G20" s="55"/>
      <c r="H20" s="55"/>
      <c r="I20" s="56"/>
      <c r="J20" s="59"/>
    </row>
    <row r="21" spans="1:10" x14ac:dyDescent="0.25">
      <c r="A21" s="50"/>
      <c r="B21" s="126"/>
      <c r="C21" s="127"/>
      <c r="D21" s="56"/>
      <c r="E21" s="51"/>
      <c r="F21" s="50"/>
      <c r="G21" s="55"/>
      <c r="H21" s="55"/>
      <c r="I21" s="56"/>
      <c r="J21" s="59"/>
    </row>
    <row r="22" spans="1:10" x14ac:dyDescent="0.25">
      <c r="A22" s="50"/>
      <c r="B22" s="126"/>
      <c r="C22" s="127"/>
      <c r="D22" s="56"/>
      <c r="E22" s="51"/>
      <c r="F22" s="50"/>
      <c r="G22" s="55"/>
      <c r="H22" s="55"/>
      <c r="I22" s="56"/>
      <c r="J22" s="59"/>
    </row>
    <row r="23" spans="1:10" x14ac:dyDescent="0.25">
      <c r="A23" s="50"/>
      <c r="B23" s="126"/>
      <c r="C23" s="127"/>
      <c r="D23" s="56"/>
      <c r="E23" s="51"/>
      <c r="F23" s="50"/>
      <c r="G23" s="55"/>
      <c r="H23" s="55"/>
      <c r="I23" s="56"/>
      <c r="J23" s="59"/>
    </row>
    <row r="24" spans="1:10" x14ac:dyDescent="0.25">
      <c r="A24" s="50"/>
      <c r="B24" s="126"/>
      <c r="C24" s="127"/>
      <c r="D24" s="56"/>
      <c r="E24" s="51"/>
      <c r="F24" s="50"/>
      <c r="G24" s="55"/>
      <c r="H24" s="55"/>
      <c r="I24" s="56"/>
      <c r="J24" s="59"/>
    </row>
    <row r="25" spans="1:10" x14ac:dyDescent="0.25">
      <c r="A25" s="50"/>
      <c r="B25" s="126"/>
      <c r="C25" s="127"/>
      <c r="D25" s="56"/>
      <c r="E25" s="51"/>
      <c r="F25" s="50"/>
      <c r="G25" s="55"/>
      <c r="H25" s="55"/>
      <c r="I25" s="56"/>
      <c r="J25" s="59"/>
    </row>
    <row r="26" spans="1:10" x14ac:dyDescent="0.25">
      <c r="A26" s="50"/>
      <c r="B26" s="126"/>
      <c r="C26" s="127"/>
      <c r="D26" s="56"/>
      <c r="E26" s="51"/>
      <c r="F26" s="50"/>
      <c r="G26" s="55"/>
      <c r="H26" s="55"/>
      <c r="I26" s="56"/>
      <c r="J26" s="59"/>
    </row>
    <row r="27" spans="1:10" x14ac:dyDescent="0.25">
      <c r="A27" s="50"/>
      <c r="B27" s="126"/>
      <c r="C27" s="127"/>
      <c r="D27" s="56"/>
      <c r="E27" s="51"/>
      <c r="F27" s="50"/>
      <c r="G27" s="55"/>
      <c r="H27" s="55"/>
      <c r="I27" s="56"/>
      <c r="J27" s="59"/>
    </row>
    <row r="28" spans="1:10" x14ac:dyDescent="0.25">
      <c r="A28" s="50"/>
      <c r="B28" s="126"/>
      <c r="C28" s="127"/>
      <c r="D28" s="56"/>
      <c r="E28" s="125"/>
      <c r="F28" s="50"/>
      <c r="G28" s="55"/>
      <c r="H28" s="55"/>
      <c r="I28" s="56"/>
      <c r="J28" s="59"/>
    </row>
    <row r="29" spans="1:10" x14ac:dyDescent="0.25">
      <c r="A29" s="50"/>
      <c r="B29" s="126"/>
      <c r="C29" s="127"/>
      <c r="D29" s="56"/>
      <c r="E29" s="125"/>
      <c r="F29" s="50"/>
      <c r="G29" s="55"/>
      <c r="H29" s="55"/>
      <c r="I29" s="56"/>
      <c r="J29" s="59"/>
    </row>
    <row r="30" spans="1:10" x14ac:dyDescent="0.25">
      <c r="A30" s="50"/>
      <c r="B30" s="126"/>
      <c r="C30" s="127"/>
      <c r="D30" s="56"/>
      <c r="E30" s="125"/>
      <c r="F30" s="50"/>
      <c r="G30" s="55"/>
      <c r="H30" s="55"/>
      <c r="I30" s="56"/>
      <c r="J30" s="59"/>
    </row>
    <row r="31" spans="1:10" x14ac:dyDescent="0.25">
      <c r="A31" s="50"/>
      <c r="B31" s="126"/>
      <c r="C31" s="127"/>
      <c r="D31" s="56"/>
      <c r="E31" s="125"/>
      <c r="F31" s="50"/>
      <c r="G31" s="55"/>
      <c r="H31" s="55"/>
      <c r="I31" s="56"/>
      <c r="J31" s="59"/>
    </row>
    <row r="32" spans="1:10" x14ac:dyDescent="0.25">
      <c r="A32" s="50"/>
      <c r="B32" s="126"/>
      <c r="C32" s="127"/>
      <c r="D32" s="56"/>
      <c r="E32" s="125"/>
      <c r="F32" s="50"/>
      <c r="G32" s="55"/>
      <c r="H32" s="55"/>
      <c r="I32" s="56"/>
      <c r="J32" s="59"/>
    </row>
    <row r="33" spans="1:10" x14ac:dyDescent="0.25">
      <c r="A33" s="50"/>
      <c r="B33" s="126"/>
      <c r="C33" s="127"/>
      <c r="D33" s="56"/>
      <c r="E33" s="125"/>
      <c r="F33" s="50"/>
      <c r="G33" s="55"/>
      <c r="H33" s="55"/>
      <c r="I33" s="56"/>
      <c r="J33" s="59"/>
    </row>
    <row r="34" spans="1:10" x14ac:dyDescent="0.25">
      <c r="A34" s="50"/>
      <c r="B34" s="126"/>
      <c r="C34" s="127"/>
      <c r="D34" s="56"/>
      <c r="E34" s="125"/>
      <c r="F34" s="50"/>
      <c r="G34" s="55"/>
      <c r="H34" s="55"/>
      <c r="I34" s="56"/>
      <c r="J34" s="59"/>
    </row>
    <row r="35" spans="1:10" x14ac:dyDescent="0.25">
      <c r="A35" s="50"/>
      <c r="B35" s="126"/>
      <c r="C35" s="127"/>
      <c r="D35" s="56"/>
      <c r="E35" s="125"/>
      <c r="F35" s="50"/>
      <c r="G35" s="55"/>
      <c r="H35" s="55"/>
      <c r="I35" s="56"/>
      <c r="J35" s="59"/>
    </row>
    <row r="36" spans="1:10" x14ac:dyDescent="0.25">
      <c r="A36" s="50"/>
      <c r="B36" s="126"/>
      <c r="C36" s="127"/>
      <c r="D36" s="56"/>
      <c r="E36" s="125"/>
      <c r="F36" s="50"/>
      <c r="G36" s="55"/>
      <c r="H36" s="55"/>
      <c r="I36" s="56"/>
      <c r="J36" s="59"/>
    </row>
    <row r="37" spans="1:10" x14ac:dyDescent="0.25">
      <c r="A37" s="50"/>
      <c r="B37" s="126"/>
      <c r="C37" s="127"/>
      <c r="D37" s="56"/>
      <c r="E37" s="125"/>
      <c r="F37" s="50"/>
      <c r="G37" s="55"/>
      <c r="H37" s="55"/>
      <c r="I37" s="56"/>
      <c r="J37" s="59"/>
    </row>
    <row r="38" spans="1:10" x14ac:dyDescent="0.25">
      <c r="A38" s="50"/>
      <c r="B38" s="126"/>
      <c r="C38" s="127"/>
      <c r="D38" s="56"/>
      <c r="E38" s="125"/>
      <c r="F38" s="50"/>
      <c r="G38" s="55"/>
      <c r="H38" s="55"/>
      <c r="I38" s="56"/>
      <c r="J38" s="59"/>
    </row>
    <row r="39" spans="1:10" x14ac:dyDescent="0.25">
      <c r="A39" s="50"/>
      <c r="B39" s="126"/>
      <c r="C39" s="127"/>
      <c r="D39" s="56"/>
      <c r="E39" s="125"/>
      <c r="F39" s="50"/>
      <c r="G39" s="55"/>
      <c r="H39" s="55"/>
      <c r="I39" s="56"/>
      <c r="J39" s="59"/>
    </row>
    <row r="40" spans="1:10" x14ac:dyDescent="0.25">
      <c r="A40" s="50"/>
      <c r="B40" s="127"/>
      <c r="C40" s="127"/>
      <c r="D40" s="56"/>
      <c r="E40" s="51"/>
      <c r="F40" s="50"/>
      <c r="G40" s="55"/>
      <c r="H40" s="55"/>
      <c r="I40" s="56"/>
    </row>
    <row r="41" spans="1:10" x14ac:dyDescent="0.25">
      <c r="A41" s="50"/>
      <c r="B41" s="127"/>
      <c r="C41" s="127"/>
      <c r="D41" s="56"/>
      <c r="E41" s="51"/>
      <c r="F41" s="50"/>
      <c r="G41" s="55"/>
      <c r="H41" s="55"/>
      <c r="I41" s="56"/>
    </row>
    <row r="42" spans="1:10" x14ac:dyDescent="0.25">
      <c r="A42" s="50"/>
      <c r="B42" s="127"/>
      <c r="C42" s="127"/>
      <c r="D42" s="56"/>
      <c r="E42" s="51"/>
      <c r="F42" s="50"/>
      <c r="G42" s="55"/>
      <c r="H42" s="55"/>
      <c r="I42" s="56"/>
    </row>
    <row r="43" spans="1:10" x14ac:dyDescent="0.25">
      <c r="A43" s="50"/>
      <c r="B43" s="127"/>
      <c r="C43" s="127"/>
      <c r="D43" s="56"/>
      <c r="E43" s="51"/>
      <c r="F43" s="50"/>
      <c r="G43" s="55"/>
      <c r="H43" s="55"/>
      <c r="I43" s="56"/>
    </row>
    <row r="44" spans="1:10" x14ac:dyDescent="0.25">
      <c r="A44" s="50"/>
      <c r="B44" s="127"/>
      <c r="C44" s="127"/>
      <c r="D44" s="56"/>
      <c r="E44" s="51"/>
      <c r="F44" s="50"/>
      <c r="G44" s="55"/>
      <c r="H44" s="55"/>
      <c r="I44" s="56"/>
    </row>
    <row r="45" spans="1:10" x14ac:dyDescent="0.25">
      <c r="A45" s="50"/>
      <c r="B45" s="127"/>
      <c r="C45" s="127"/>
      <c r="D45" s="56"/>
      <c r="E45" s="51"/>
      <c r="F45" s="50"/>
      <c r="G45" s="55"/>
      <c r="H45" s="55"/>
      <c r="I45" s="56"/>
    </row>
    <row r="46" spans="1:10" x14ac:dyDescent="0.25">
      <c r="A46" s="50"/>
      <c r="B46" s="127"/>
      <c r="C46" s="127"/>
      <c r="D46" s="56"/>
      <c r="E46" s="51"/>
      <c r="F46" s="50"/>
      <c r="G46" s="55"/>
      <c r="H46" s="55"/>
      <c r="I46" s="56"/>
    </row>
    <row r="47" spans="1:10" x14ac:dyDescent="0.25">
      <c r="A47" s="50"/>
      <c r="B47" s="127"/>
      <c r="C47" s="127"/>
      <c r="D47" s="56"/>
      <c r="E47" s="51"/>
      <c r="F47" s="50"/>
      <c r="G47" s="55"/>
      <c r="H47" s="55"/>
      <c r="I47" s="56"/>
    </row>
    <row r="48" spans="1:10" x14ac:dyDescent="0.25">
      <c r="A48" s="50"/>
      <c r="B48" s="127"/>
      <c r="C48" s="127"/>
      <c r="D48" s="56"/>
      <c r="E48" s="51"/>
      <c r="F48" s="50"/>
      <c r="G48" s="55"/>
      <c r="H48" s="55"/>
      <c r="I48" s="56"/>
    </row>
    <row r="49" spans="1:9" x14ac:dyDescent="0.25">
      <c r="A49" s="50"/>
      <c r="B49" s="127"/>
      <c r="C49" s="127"/>
      <c r="D49" s="56"/>
      <c r="E49" s="51"/>
      <c r="F49" s="50"/>
      <c r="G49" s="55"/>
      <c r="H49" s="55"/>
      <c r="I49" s="56"/>
    </row>
    <row r="50" spans="1:9" x14ac:dyDescent="0.25">
      <c r="A50" s="50"/>
      <c r="B50" s="127"/>
      <c r="C50" s="127"/>
      <c r="D50" s="56"/>
      <c r="E50" s="51"/>
      <c r="F50" s="50"/>
      <c r="G50" s="55"/>
      <c r="H50" s="55"/>
      <c r="I50" s="56"/>
    </row>
    <row r="51" spans="1:9" x14ac:dyDescent="0.25">
      <c r="A51" s="50"/>
      <c r="B51" s="127"/>
      <c r="C51" s="127"/>
      <c r="D51" s="56"/>
      <c r="E51" s="51"/>
      <c r="F51" s="50"/>
      <c r="G51" s="55"/>
      <c r="H51" s="55"/>
      <c r="I51" s="56"/>
    </row>
    <row r="52" spans="1:9" x14ac:dyDescent="0.25">
      <c r="A52" s="50"/>
      <c r="B52" s="127"/>
      <c r="C52" s="127"/>
      <c r="D52" s="56"/>
      <c r="E52" s="51"/>
      <c r="F52" s="50"/>
      <c r="G52" s="55"/>
      <c r="H52" s="55"/>
      <c r="I52" s="56"/>
    </row>
    <row r="53" spans="1:9" x14ac:dyDescent="0.25">
      <c r="A53" s="50"/>
      <c r="B53" s="127"/>
      <c r="C53" s="127"/>
      <c r="D53" s="56"/>
      <c r="E53" s="51"/>
      <c r="F53" s="50"/>
      <c r="G53" s="55"/>
      <c r="H53" s="55"/>
      <c r="I53" s="56"/>
    </row>
    <row r="54" spans="1:9" x14ac:dyDescent="0.25">
      <c r="A54" s="50"/>
      <c r="B54" s="127"/>
      <c r="C54" s="127"/>
      <c r="D54" s="56"/>
      <c r="E54" s="51"/>
      <c r="F54" s="50"/>
      <c r="G54" s="55"/>
      <c r="H54" s="55"/>
      <c r="I54" s="56"/>
    </row>
    <row r="55" spans="1:9" x14ac:dyDescent="0.25">
      <c r="A55" s="50"/>
      <c r="B55" s="127"/>
      <c r="C55" s="127"/>
      <c r="D55" s="56"/>
      <c r="E55" s="51"/>
      <c r="F55" s="50"/>
      <c r="G55" s="55"/>
      <c r="H55" s="55"/>
      <c r="I55" s="56"/>
    </row>
    <row r="56" spans="1:9" x14ac:dyDescent="0.25">
      <c r="A56" s="50"/>
      <c r="B56" s="127"/>
      <c r="C56" s="127"/>
      <c r="D56" s="56"/>
      <c r="E56" s="51"/>
      <c r="F56" s="50"/>
      <c r="G56" s="55"/>
      <c r="H56" s="55"/>
      <c r="I56" s="56"/>
    </row>
    <row r="57" spans="1:9" x14ac:dyDescent="0.25">
      <c r="A57" s="50"/>
      <c r="B57" s="127"/>
      <c r="C57" s="127"/>
      <c r="D57" s="56"/>
      <c r="E57" s="51"/>
      <c r="F57" s="50"/>
      <c r="G57" s="55"/>
      <c r="H57" s="55"/>
      <c r="I57" s="56"/>
    </row>
    <row r="58" spans="1:9" x14ac:dyDescent="0.25">
      <c r="A58" s="50"/>
      <c r="B58" s="127"/>
      <c r="C58" s="127"/>
      <c r="D58" s="56"/>
      <c r="E58" s="51"/>
      <c r="F58" s="50"/>
      <c r="G58" s="55"/>
      <c r="H58" s="55"/>
      <c r="I58" s="56"/>
    </row>
    <row r="59" spans="1:9" x14ac:dyDescent="0.25">
      <c r="A59" s="50"/>
      <c r="B59" s="127"/>
      <c r="C59" s="127"/>
      <c r="D59" s="56"/>
      <c r="E59" s="51"/>
      <c r="F59" s="50"/>
      <c r="G59" s="55"/>
      <c r="H59" s="55"/>
      <c r="I59" s="56"/>
    </row>
    <row r="60" spans="1:9" x14ac:dyDescent="0.25">
      <c r="A60" s="50"/>
      <c r="B60" s="127"/>
      <c r="C60" s="127"/>
      <c r="D60" s="56"/>
      <c r="E60" s="51"/>
      <c r="F60" s="50"/>
      <c r="G60" s="55"/>
      <c r="H60" s="55"/>
      <c r="I60" s="56"/>
    </row>
    <row r="61" spans="1:9" x14ac:dyDescent="0.25">
      <c r="A61" s="50"/>
      <c r="B61" s="127"/>
      <c r="C61" s="127"/>
      <c r="D61" s="56"/>
      <c r="E61" s="51"/>
      <c r="F61" s="50"/>
      <c r="G61" s="55"/>
      <c r="H61" s="55"/>
      <c r="I61" s="56"/>
    </row>
    <row r="62" spans="1:9" x14ac:dyDescent="0.25">
      <c r="A62" s="50"/>
      <c r="B62" s="127"/>
      <c r="C62" s="127"/>
      <c r="D62" s="56"/>
      <c r="E62" s="51"/>
      <c r="F62" s="50"/>
      <c r="G62" s="55"/>
      <c r="H62" s="55"/>
      <c r="I62" s="56"/>
    </row>
    <row r="63" spans="1:9" x14ac:dyDescent="0.25">
      <c r="A63" s="50"/>
      <c r="B63" s="127"/>
      <c r="C63" s="127"/>
      <c r="D63" s="56"/>
      <c r="E63" s="51"/>
      <c r="F63" s="50"/>
      <c r="G63" s="55"/>
      <c r="H63" s="55"/>
      <c r="I63" s="56"/>
    </row>
    <row r="64" spans="1:9" x14ac:dyDescent="0.25">
      <c r="A64" s="50"/>
      <c r="B64" s="127"/>
      <c r="C64" s="127"/>
      <c r="D64" s="56"/>
      <c r="E64" s="51"/>
      <c r="F64" s="50"/>
      <c r="G64" s="55"/>
      <c r="H64" s="55"/>
      <c r="I64" s="56"/>
    </row>
    <row r="65" spans="1:9" x14ac:dyDescent="0.25">
      <c r="A65" s="50"/>
      <c r="B65" s="127"/>
      <c r="C65" s="127"/>
      <c r="D65" s="56"/>
      <c r="E65" s="51"/>
      <c r="F65" s="50"/>
      <c r="G65" s="55"/>
      <c r="H65" s="55"/>
      <c r="I65" s="56"/>
    </row>
    <row r="66" spans="1:9" x14ac:dyDescent="0.25">
      <c r="A66" s="50"/>
      <c r="B66" s="127"/>
      <c r="C66" s="127"/>
      <c r="D66" s="56"/>
      <c r="E66" s="51"/>
      <c r="F66" s="50"/>
      <c r="G66" s="55"/>
      <c r="H66" s="55"/>
      <c r="I66" s="56"/>
    </row>
    <row r="67" spans="1:9" x14ac:dyDescent="0.25">
      <c r="A67" s="50"/>
      <c r="B67" s="127"/>
      <c r="C67" s="127"/>
      <c r="D67" s="56"/>
      <c r="E67" s="51"/>
      <c r="F67" s="50"/>
      <c r="G67" s="55"/>
      <c r="H67" s="55"/>
      <c r="I67" s="56"/>
    </row>
    <row r="68" spans="1:9" x14ac:dyDescent="0.25">
      <c r="A68" s="50"/>
      <c r="B68" s="127"/>
      <c r="C68" s="127"/>
      <c r="D68" s="56"/>
      <c r="E68" s="51"/>
      <c r="F68" s="50"/>
      <c r="G68" s="55"/>
      <c r="H68" s="55"/>
      <c r="I68" s="56"/>
    </row>
    <row r="69" spans="1:9" x14ac:dyDescent="0.25">
      <c r="A69" s="50"/>
      <c r="B69" s="127"/>
      <c r="C69" s="127"/>
      <c r="D69" s="56"/>
      <c r="E69" s="51"/>
      <c r="F69" s="50"/>
      <c r="G69" s="55"/>
      <c r="H69" s="55"/>
      <c r="I69" s="56"/>
    </row>
    <row r="70" spans="1:9" x14ac:dyDescent="0.25">
      <c r="A70" s="50"/>
      <c r="B70" s="127"/>
      <c r="C70" s="127"/>
      <c r="D70" s="56"/>
      <c r="E70" s="51"/>
      <c r="F70" s="50"/>
      <c r="G70" s="55"/>
      <c r="H70" s="55"/>
      <c r="I70" s="56"/>
    </row>
    <row r="71" spans="1:9" x14ac:dyDescent="0.25">
      <c r="A71" s="50"/>
      <c r="B71" s="127"/>
      <c r="C71" s="127"/>
      <c r="D71" s="56"/>
      <c r="E71" s="51"/>
      <c r="F71" s="50"/>
      <c r="G71" s="55"/>
      <c r="H71" s="55"/>
      <c r="I71" s="56"/>
    </row>
    <row r="72" spans="1:9" x14ac:dyDescent="0.25">
      <c r="A72" s="50"/>
      <c r="B72" s="127"/>
      <c r="C72" s="127"/>
      <c r="D72" s="56"/>
      <c r="E72" s="51"/>
      <c r="F72" s="50"/>
      <c r="G72" s="55"/>
      <c r="H72" s="55"/>
      <c r="I72" s="56"/>
    </row>
    <row r="73" spans="1:9" x14ac:dyDescent="0.25">
      <c r="A73" s="50"/>
      <c r="B73" s="127"/>
      <c r="C73" s="127"/>
      <c r="D73" s="56"/>
      <c r="E73" s="51"/>
      <c r="F73" s="50"/>
      <c r="G73" s="55"/>
      <c r="H73" s="55"/>
      <c r="I73" s="56"/>
    </row>
    <row r="74" spans="1:9" x14ac:dyDescent="0.25">
      <c r="A74" s="50"/>
      <c r="B74" s="127"/>
      <c r="C74" s="127"/>
      <c r="D74" s="56"/>
      <c r="E74" s="51"/>
      <c r="F74" s="50"/>
      <c r="G74" s="55"/>
      <c r="H74" s="55"/>
      <c r="I74" s="56"/>
    </row>
    <row r="75" spans="1:9" x14ac:dyDescent="0.25">
      <c r="A75" s="50"/>
      <c r="B75" s="127"/>
      <c r="C75" s="127"/>
      <c r="D75" s="56"/>
      <c r="E75" s="51"/>
      <c r="F75" s="50"/>
      <c r="G75" s="55"/>
      <c r="H75" s="55"/>
      <c r="I75" s="56"/>
    </row>
    <row r="76" spans="1:9" x14ac:dyDescent="0.25">
      <c r="A76" s="50"/>
      <c r="B76" s="127"/>
      <c r="C76" s="127"/>
      <c r="D76" s="56"/>
      <c r="E76" s="51"/>
      <c r="F76" s="50"/>
      <c r="G76" s="55"/>
      <c r="H76" s="55"/>
      <c r="I76" s="56"/>
    </row>
    <row r="77" spans="1:9" x14ac:dyDescent="0.25">
      <c r="A77" s="50"/>
      <c r="B77" s="127"/>
      <c r="C77" s="127"/>
      <c r="D77" s="56"/>
      <c r="E77" s="51"/>
      <c r="F77" s="50"/>
      <c r="G77" s="55"/>
      <c r="H77" s="55"/>
      <c r="I77" s="56"/>
    </row>
    <row r="78" spans="1:9" x14ac:dyDescent="0.25">
      <c r="A78" s="50"/>
      <c r="B78" s="127"/>
      <c r="C78" s="127"/>
      <c r="D78" s="56"/>
      <c r="E78" s="51"/>
      <c r="F78" s="50"/>
      <c r="G78" s="55"/>
      <c r="H78" s="55"/>
      <c r="I78" s="56"/>
    </row>
    <row r="79" spans="1:9" x14ac:dyDescent="0.25">
      <c r="A79" s="50"/>
      <c r="B79" s="127"/>
      <c r="C79" s="127"/>
      <c r="D79" s="56"/>
      <c r="E79" s="51"/>
      <c r="F79" s="50"/>
      <c r="G79" s="55"/>
      <c r="H79" s="55"/>
      <c r="I79" s="56"/>
    </row>
    <row r="80" spans="1:9" x14ac:dyDescent="0.25">
      <c r="A80" s="50"/>
      <c r="B80" s="127"/>
      <c r="C80" s="127"/>
      <c r="D80" s="56"/>
      <c r="E80" s="51"/>
      <c r="F80" s="50"/>
      <c r="G80" s="55"/>
      <c r="H80" s="55"/>
      <c r="I80" s="56"/>
    </row>
    <row r="81" spans="1:9" x14ac:dyDescent="0.25">
      <c r="A81" s="50"/>
      <c r="B81" s="127"/>
      <c r="C81" s="127"/>
      <c r="D81" s="56"/>
      <c r="E81" s="51"/>
      <c r="F81" s="50"/>
      <c r="G81" s="55"/>
      <c r="H81" s="55"/>
      <c r="I81" s="56"/>
    </row>
    <row r="82" spans="1:9" x14ac:dyDescent="0.25">
      <c r="A82" s="50"/>
      <c r="B82" s="127"/>
      <c r="C82" s="127"/>
      <c r="D82" s="56"/>
      <c r="E82" s="51"/>
      <c r="F82" s="50"/>
      <c r="G82" s="55"/>
      <c r="H82" s="55"/>
      <c r="I82" s="56"/>
    </row>
    <row r="83" spans="1:9" x14ac:dyDescent="0.25">
      <c r="A83" s="50"/>
      <c r="B83" s="127"/>
      <c r="C83" s="127"/>
      <c r="D83" s="56"/>
      <c r="E83" s="51"/>
      <c r="F83" s="50"/>
      <c r="G83" s="55"/>
      <c r="H83" s="55"/>
      <c r="I83" s="56"/>
    </row>
    <row r="84" spans="1:9" x14ac:dyDescent="0.25">
      <c r="A84" s="50"/>
      <c r="B84" s="127"/>
      <c r="C84" s="127"/>
      <c r="D84" s="56"/>
      <c r="E84" s="51"/>
      <c r="F84" s="50"/>
      <c r="G84" s="55"/>
      <c r="H84" s="55"/>
      <c r="I84" s="56"/>
    </row>
    <row r="85" spans="1:9" x14ac:dyDescent="0.25">
      <c r="A85" s="50"/>
      <c r="B85" s="127"/>
      <c r="C85" s="127"/>
      <c r="D85" s="56"/>
      <c r="E85" s="51"/>
      <c r="F85" s="50"/>
      <c r="G85" s="55"/>
      <c r="H85" s="55"/>
      <c r="I85" s="56"/>
    </row>
    <row r="86" spans="1:9" x14ac:dyDescent="0.25">
      <c r="A86" s="50"/>
      <c r="B86" s="127"/>
      <c r="C86" s="127"/>
      <c r="D86" s="56"/>
      <c r="E86" s="51"/>
      <c r="F86" s="50"/>
      <c r="G86" s="55"/>
      <c r="H86" s="55"/>
      <c r="I86" s="56"/>
    </row>
    <row r="87" spans="1:9" x14ac:dyDescent="0.25">
      <c r="A87" s="50"/>
      <c r="B87" s="127"/>
      <c r="C87" s="127"/>
      <c r="D87" s="56"/>
      <c r="E87" s="51"/>
      <c r="F87" s="50"/>
      <c r="G87" s="55"/>
      <c r="H87" s="55"/>
      <c r="I87" s="56"/>
    </row>
    <row r="88" spans="1:9" x14ac:dyDescent="0.25">
      <c r="A88" s="50"/>
      <c r="B88" s="127"/>
      <c r="C88" s="127"/>
      <c r="D88" s="56"/>
      <c r="E88" s="51"/>
      <c r="F88" s="50"/>
      <c r="G88" s="55"/>
      <c r="H88" s="55"/>
      <c r="I88" s="56"/>
    </row>
    <row r="89" spans="1:9" x14ac:dyDescent="0.25">
      <c r="A89" s="50"/>
      <c r="B89" s="127"/>
      <c r="C89" s="127"/>
      <c r="D89" s="56"/>
      <c r="E89" s="51"/>
      <c r="F89" s="50"/>
      <c r="G89" s="55"/>
      <c r="H89" s="55"/>
      <c r="I89" s="56"/>
    </row>
    <row r="90" spans="1:9" x14ac:dyDescent="0.25">
      <c r="A90" s="50"/>
      <c r="B90" s="127"/>
      <c r="C90" s="127"/>
      <c r="D90" s="56"/>
      <c r="E90" s="51"/>
      <c r="F90" s="50"/>
      <c r="G90" s="55"/>
      <c r="H90" s="55"/>
      <c r="I90" s="56"/>
    </row>
    <row r="91" spans="1:9" x14ac:dyDescent="0.25">
      <c r="A91" s="50"/>
      <c r="B91" s="127"/>
      <c r="C91" s="127"/>
      <c r="D91" s="56"/>
      <c r="E91" s="51"/>
      <c r="F91" s="50"/>
      <c r="G91" s="55"/>
      <c r="H91" s="55"/>
      <c r="I91" s="56"/>
    </row>
    <row r="92" spans="1:9" x14ac:dyDescent="0.25">
      <c r="A92" s="50"/>
      <c r="B92" s="127"/>
      <c r="C92" s="127"/>
      <c r="D92" s="56"/>
      <c r="E92" s="51"/>
      <c r="F92" s="50"/>
      <c r="G92" s="55"/>
      <c r="H92" s="55"/>
      <c r="I92" s="56"/>
    </row>
    <row r="93" spans="1:9" x14ac:dyDescent="0.25">
      <c r="A93" s="50"/>
      <c r="B93" s="127"/>
      <c r="C93" s="127"/>
      <c r="D93" s="56"/>
      <c r="E93" s="51"/>
      <c r="F93" s="50"/>
      <c r="G93" s="55"/>
      <c r="H93" s="55"/>
      <c r="I93" s="56"/>
    </row>
    <row r="94" spans="1:9" x14ac:dyDescent="0.25">
      <c r="A94" s="50"/>
      <c r="B94" s="127"/>
      <c r="C94" s="127"/>
      <c r="D94" s="56"/>
      <c r="E94" s="51"/>
      <c r="F94" s="50"/>
      <c r="G94" s="55"/>
      <c r="H94" s="55"/>
    </row>
    <row r="95" spans="1:9" x14ac:dyDescent="0.25">
      <c r="A95" s="50"/>
      <c r="B95" s="127"/>
      <c r="C95" s="127"/>
      <c r="D95" s="56"/>
      <c r="E95" s="51"/>
      <c r="F95" s="50"/>
      <c r="G95" s="55"/>
      <c r="H95" s="55"/>
    </row>
    <row r="96" spans="1:9" x14ac:dyDescent="0.25">
      <c r="A96" s="50"/>
      <c r="B96" s="127"/>
      <c r="C96" s="127"/>
      <c r="D96" s="56"/>
      <c r="E96" s="51"/>
      <c r="F96" s="50"/>
      <c r="G96" s="55"/>
      <c r="H96" s="55"/>
    </row>
    <row r="97" spans="1:8" x14ac:dyDescent="0.25">
      <c r="A97" s="50"/>
      <c r="B97" s="127"/>
      <c r="C97" s="127"/>
      <c r="D97" s="56"/>
      <c r="E97" s="51"/>
      <c r="F97" s="50"/>
      <c r="G97" s="55"/>
      <c r="H97" s="55"/>
    </row>
    <row r="98" spans="1:8" x14ac:dyDescent="0.25">
      <c r="A98" s="50"/>
      <c r="B98" s="127"/>
      <c r="C98" s="127"/>
      <c r="D98" s="56"/>
      <c r="E98" s="51"/>
      <c r="F98" s="50"/>
      <c r="G98" s="55"/>
      <c r="H98" s="55"/>
    </row>
    <row r="99" spans="1:8" x14ac:dyDescent="0.25">
      <c r="A99" s="50"/>
      <c r="B99" s="127"/>
      <c r="C99" s="127"/>
      <c r="D99" s="56"/>
      <c r="E99" s="51"/>
      <c r="F99" s="50"/>
      <c r="G99" s="55"/>
      <c r="H99" s="55"/>
    </row>
    <row r="100" spans="1:8" x14ac:dyDescent="0.25">
      <c r="A100" s="50"/>
      <c r="B100" s="127"/>
      <c r="C100" s="127"/>
      <c r="D100" s="56"/>
      <c r="E100" s="51"/>
      <c r="F100" s="50"/>
      <c r="G100" s="55"/>
      <c r="H100" s="55"/>
    </row>
    <row r="101" spans="1:8" x14ac:dyDescent="0.25">
      <c r="A101" s="50"/>
      <c r="D101" s="56"/>
      <c r="E101" s="51"/>
      <c r="F101" s="50"/>
      <c r="G101" s="55"/>
      <c r="H101" s="55"/>
    </row>
    <row r="102" spans="1:8" x14ac:dyDescent="0.25">
      <c r="A102" s="50"/>
      <c r="D102" s="56"/>
      <c r="E102" s="51"/>
      <c r="F102" s="50"/>
      <c r="G102" s="55"/>
      <c r="H102" s="55"/>
    </row>
    <row r="103" spans="1:8" x14ac:dyDescent="0.25">
      <c r="A103" s="50"/>
      <c r="D103" s="56"/>
      <c r="E103" s="51"/>
      <c r="F103" s="50"/>
      <c r="G103" s="55"/>
      <c r="H103" s="55"/>
    </row>
    <row r="104" spans="1:8" x14ac:dyDescent="0.25">
      <c r="A104" s="50"/>
      <c r="D104" s="56"/>
      <c r="E104" s="51"/>
      <c r="F104" s="50"/>
      <c r="G104" s="55"/>
      <c r="H104" s="55"/>
    </row>
    <row r="105" spans="1:8" x14ac:dyDescent="0.25">
      <c r="A105" s="50"/>
      <c r="D105" s="56"/>
      <c r="E105" s="51"/>
      <c r="F105" s="50"/>
      <c r="G105" s="55"/>
      <c r="H105" s="55"/>
    </row>
    <row r="106" spans="1:8" x14ac:dyDescent="0.25">
      <c r="A106" s="50"/>
      <c r="D106" s="56"/>
      <c r="E106" s="51"/>
      <c r="F106" s="50"/>
      <c r="G106" s="55"/>
      <c r="H106" s="55"/>
    </row>
    <row r="107" spans="1:8" x14ac:dyDescent="0.25">
      <c r="A107" s="50"/>
      <c r="D107" s="56"/>
      <c r="E107" s="51"/>
      <c r="F107" s="50"/>
      <c r="G107" s="55"/>
      <c r="H107" s="55"/>
    </row>
    <row r="108" spans="1:8" x14ac:dyDescent="0.25">
      <c r="A108" s="50"/>
      <c r="D108" s="56"/>
      <c r="E108" s="51"/>
      <c r="F108" s="50"/>
      <c r="G108" s="55"/>
      <c r="H108" s="55"/>
    </row>
    <row r="109" spans="1:8" x14ac:dyDescent="0.25">
      <c r="A109" s="50"/>
      <c r="D109" s="56"/>
      <c r="E109" s="51"/>
      <c r="F109" s="50"/>
      <c r="G109" s="55"/>
      <c r="H109" s="55"/>
    </row>
    <row r="110" spans="1:8" x14ac:dyDescent="0.25">
      <c r="A110" s="50"/>
      <c r="D110" s="56"/>
      <c r="E110" s="51"/>
      <c r="F110" s="50"/>
      <c r="G110" s="55"/>
      <c r="H110" s="55"/>
    </row>
    <row r="111" spans="1:8" x14ac:dyDescent="0.25">
      <c r="A111" s="50"/>
      <c r="D111" s="56"/>
      <c r="E111" s="51"/>
      <c r="F111" s="50"/>
      <c r="G111" s="55"/>
      <c r="H111" s="55"/>
    </row>
    <row r="112" spans="1:8" x14ac:dyDescent="0.25">
      <c r="A112" s="50"/>
      <c r="D112" s="56"/>
      <c r="E112" s="51"/>
      <c r="F112" s="50"/>
      <c r="G112" s="55"/>
      <c r="H112" s="55"/>
    </row>
    <row r="113" spans="1:8" x14ac:dyDescent="0.25">
      <c r="A113" s="50"/>
      <c r="D113" s="56"/>
      <c r="E113" s="51"/>
      <c r="F113" s="50"/>
      <c r="G113" s="55"/>
      <c r="H113" s="55"/>
    </row>
    <row r="114" spans="1:8" x14ac:dyDescent="0.25">
      <c r="A114" s="50"/>
      <c r="D114" s="56"/>
      <c r="E114" s="51"/>
      <c r="F114" s="50"/>
      <c r="G114" s="55"/>
      <c r="H114" s="55"/>
    </row>
    <row r="115" spans="1:8" x14ac:dyDescent="0.25">
      <c r="A115" s="50"/>
      <c r="D115" s="56"/>
      <c r="E115" s="51"/>
      <c r="F115" s="50"/>
      <c r="G115" s="55"/>
      <c r="H115" s="55"/>
    </row>
    <row r="116" spans="1:8" x14ac:dyDescent="0.25">
      <c r="A116" s="50"/>
      <c r="D116" s="56"/>
      <c r="E116" s="51"/>
      <c r="F116" s="50"/>
      <c r="G116" s="55"/>
      <c r="H116" s="55"/>
    </row>
    <row r="117" spans="1:8" x14ac:dyDescent="0.25">
      <c r="A117" s="50"/>
      <c r="D117" s="56"/>
      <c r="E117" s="51"/>
      <c r="F117" s="50"/>
      <c r="G117" s="55"/>
      <c r="H117" s="55"/>
    </row>
    <row r="118" spans="1:8" x14ac:dyDescent="0.25">
      <c r="A118" s="50"/>
      <c r="D118" s="56"/>
      <c r="E118" s="51"/>
      <c r="F118" s="50"/>
      <c r="G118" s="55"/>
      <c r="H118" s="55"/>
    </row>
    <row r="119" spans="1:8" x14ac:dyDescent="0.25">
      <c r="A119" s="50"/>
      <c r="D119" s="56"/>
      <c r="E119" s="51"/>
      <c r="F119" s="50"/>
      <c r="G119" s="55"/>
      <c r="H119" s="55"/>
    </row>
    <row r="120" spans="1:8" x14ac:dyDescent="0.25">
      <c r="A120" s="50"/>
      <c r="D120" s="56"/>
      <c r="E120" s="51"/>
      <c r="F120" s="50"/>
      <c r="G120" s="55"/>
      <c r="H120" s="55"/>
    </row>
    <row r="121" spans="1:8" x14ac:dyDescent="0.25">
      <c r="A121" s="50"/>
      <c r="D121" s="56"/>
      <c r="E121" s="51"/>
      <c r="F121" s="50"/>
      <c r="G121" s="55"/>
      <c r="H121" s="55"/>
    </row>
    <row r="122" spans="1:8" x14ac:dyDescent="0.25">
      <c r="A122" s="50"/>
      <c r="D122" s="56"/>
      <c r="E122" s="51"/>
      <c r="F122" s="50"/>
      <c r="G122" s="55"/>
      <c r="H122" s="55"/>
    </row>
    <row r="123" spans="1:8" x14ac:dyDescent="0.25">
      <c r="A123" s="50"/>
      <c r="D123" s="56"/>
      <c r="E123" s="51"/>
      <c r="F123" s="50"/>
      <c r="G123" s="55"/>
      <c r="H123" s="55"/>
    </row>
    <row r="124" spans="1:8" x14ac:dyDescent="0.25">
      <c r="A124" s="50"/>
      <c r="D124" s="56"/>
      <c r="E124" s="51"/>
      <c r="F124" s="50"/>
      <c r="G124" s="55"/>
      <c r="H124" s="55"/>
    </row>
    <row r="125" spans="1:8" x14ac:dyDescent="0.25">
      <c r="A125" s="50"/>
      <c r="D125" s="56"/>
      <c r="E125" s="51"/>
      <c r="F125" s="50"/>
      <c r="G125" s="55"/>
      <c r="H125" s="55"/>
    </row>
    <row r="126" spans="1:8" x14ac:dyDescent="0.25">
      <c r="A126" s="50"/>
      <c r="D126" s="56"/>
      <c r="E126" s="51"/>
      <c r="F126" s="50"/>
      <c r="G126" s="55"/>
      <c r="H126" s="55"/>
    </row>
    <row r="127" spans="1:8" x14ac:dyDescent="0.25">
      <c r="A127" s="50"/>
      <c r="D127" s="56"/>
      <c r="E127" s="51"/>
      <c r="F127" s="50"/>
      <c r="G127" s="55"/>
      <c r="H127" s="55"/>
    </row>
    <row r="128" spans="1:8" x14ac:dyDescent="0.25">
      <c r="A128" s="50"/>
      <c r="D128" s="56"/>
      <c r="E128" s="51"/>
      <c r="F128" s="50"/>
      <c r="G128" s="55"/>
      <c r="H128" s="55"/>
    </row>
    <row r="129" spans="1:8" x14ac:dyDescent="0.25">
      <c r="A129" s="50"/>
      <c r="D129" s="56"/>
      <c r="E129" s="51"/>
      <c r="F129" s="50"/>
      <c r="G129" s="55"/>
      <c r="H129" s="55"/>
    </row>
    <row r="130" spans="1:8" x14ac:dyDescent="0.25">
      <c r="A130" s="50"/>
      <c r="D130" s="56"/>
      <c r="E130" s="51"/>
      <c r="F130" s="50"/>
      <c r="G130" s="55"/>
      <c r="H130" s="55"/>
    </row>
    <row r="131" spans="1:8" x14ac:dyDescent="0.25">
      <c r="A131" s="50"/>
      <c r="D131" s="56"/>
      <c r="E131" s="51"/>
      <c r="F131" s="50"/>
      <c r="G131" s="55"/>
      <c r="H131" s="55"/>
    </row>
    <row r="132" spans="1:8" x14ac:dyDescent="0.25">
      <c r="A132" s="50"/>
      <c r="D132" s="56"/>
      <c r="E132" s="51"/>
      <c r="F132" s="50"/>
      <c r="G132" s="55"/>
      <c r="H132" s="55"/>
    </row>
    <row r="133" spans="1:8" x14ac:dyDescent="0.25">
      <c r="A133" s="50"/>
      <c r="D133" s="56"/>
      <c r="E133" s="51"/>
      <c r="F133" s="50"/>
      <c r="G133" s="55"/>
      <c r="H133" s="55"/>
    </row>
    <row r="134" spans="1:8" x14ac:dyDescent="0.25">
      <c r="A134" s="50"/>
      <c r="D134" s="56"/>
      <c r="E134" s="51"/>
      <c r="F134" s="50"/>
      <c r="G134" s="55"/>
      <c r="H134" s="55"/>
    </row>
    <row r="135" spans="1:8" x14ac:dyDescent="0.25">
      <c r="A135" s="50"/>
      <c r="D135" s="56"/>
      <c r="E135" s="51"/>
      <c r="F135" s="50"/>
      <c r="G135" s="55"/>
      <c r="H135" s="55"/>
    </row>
    <row r="136" spans="1:8" x14ac:dyDescent="0.25">
      <c r="A136" s="50"/>
      <c r="D136" s="56"/>
      <c r="E136" s="51"/>
      <c r="F136" s="50"/>
      <c r="G136" s="55"/>
      <c r="H136" s="55"/>
    </row>
    <row r="137" spans="1:8" x14ac:dyDescent="0.25">
      <c r="A137" s="50"/>
      <c r="D137" s="56"/>
      <c r="E137" s="51"/>
      <c r="F137" s="50"/>
      <c r="G137" s="55"/>
      <c r="H137" s="55"/>
    </row>
    <row r="138" spans="1:8" x14ac:dyDescent="0.25">
      <c r="A138" s="50"/>
      <c r="D138" s="56"/>
      <c r="E138" s="51"/>
      <c r="F138" s="50"/>
      <c r="G138" s="55"/>
      <c r="H138" s="55"/>
    </row>
    <row r="139" spans="1:8" x14ac:dyDescent="0.25">
      <c r="A139" s="50"/>
      <c r="D139" s="56"/>
      <c r="E139" s="51"/>
      <c r="F139" s="50"/>
      <c r="G139" s="55"/>
      <c r="H139" s="55"/>
    </row>
    <row r="140" spans="1:8" x14ac:dyDescent="0.25">
      <c r="A140" s="50"/>
      <c r="D140" s="56"/>
      <c r="E140" s="51"/>
      <c r="F140" s="50"/>
      <c r="G140" s="55"/>
      <c r="H140" s="55"/>
    </row>
    <row r="141" spans="1:8" x14ac:dyDescent="0.25">
      <c r="A141" s="50"/>
      <c r="D141" s="56"/>
      <c r="E141" s="51"/>
      <c r="F141" s="50"/>
      <c r="G141" s="55"/>
      <c r="H141" s="55"/>
    </row>
    <row r="142" spans="1:8" x14ac:dyDescent="0.25">
      <c r="A142" s="50"/>
      <c r="D142" s="56"/>
      <c r="E142" s="51"/>
      <c r="F142" s="50"/>
      <c r="G142" s="55"/>
      <c r="H142" s="55"/>
    </row>
    <row r="143" spans="1:8" x14ac:dyDescent="0.25">
      <c r="A143" s="50"/>
      <c r="D143" s="56"/>
      <c r="E143" s="51"/>
      <c r="F143" s="50"/>
      <c r="G143" s="55"/>
      <c r="H143" s="55"/>
    </row>
    <row r="144" spans="1:8" x14ac:dyDescent="0.25">
      <c r="A144" s="50"/>
      <c r="D144" s="56"/>
      <c r="E144" s="51"/>
      <c r="F144" s="50"/>
      <c r="G144" s="55"/>
      <c r="H144" s="55"/>
    </row>
    <row r="145" spans="1:8" x14ac:dyDescent="0.25">
      <c r="A145" s="50"/>
      <c r="D145" s="56"/>
      <c r="E145" s="51"/>
      <c r="F145" s="50"/>
      <c r="G145" s="55"/>
      <c r="H145" s="55"/>
    </row>
    <row r="146" spans="1:8" x14ac:dyDescent="0.25">
      <c r="A146" s="50"/>
      <c r="D146" s="56"/>
      <c r="E146" s="51"/>
      <c r="F146" s="50"/>
      <c r="G146" s="55"/>
      <c r="H146" s="55"/>
    </row>
    <row r="147" spans="1:8" x14ac:dyDescent="0.25">
      <c r="A147" s="50"/>
      <c r="D147" s="56"/>
      <c r="E147" s="51"/>
      <c r="F147" s="50"/>
      <c r="G147" s="55"/>
      <c r="H147" s="55"/>
    </row>
    <row r="148" spans="1:8" x14ac:dyDescent="0.25">
      <c r="A148" s="50"/>
      <c r="D148" s="56"/>
      <c r="E148" s="51"/>
      <c r="F148" s="50"/>
      <c r="G148" s="55"/>
      <c r="H148" s="55"/>
    </row>
    <row r="149" spans="1:8" x14ac:dyDescent="0.25">
      <c r="A149" s="50"/>
      <c r="D149" s="56"/>
      <c r="E149" s="51"/>
      <c r="F149" s="50"/>
      <c r="G149" s="55"/>
      <c r="H149" s="55"/>
    </row>
    <row r="150" spans="1:8" x14ac:dyDescent="0.25">
      <c r="A150" s="50"/>
      <c r="D150" s="56"/>
      <c r="E150" s="51"/>
      <c r="F150" s="50"/>
      <c r="G150" s="55"/>
      <c r="H150" s="55"/>
    </row>
    <row r="151" spans="1:8" x14ac:dyDescent="0.25">
      <c r="A151" s="50"/>
      <c r="D151" s="56"/>
      <c r="E151" s="51"/>
      <c r="F151" s="50"/>
      <c r="G151" s="55"/>
      <c r="H151" s="55"/>
    </row>
    <row r="152" spans="1:8" x14ac:dyDescent="0.25">
      <c r="A152" s="50"/>
      <c r="D152" s="56"/>
      <c r="E152" s="51"/>
      <c r="F152" s="50"/>
      <c r="G152" s="55"/>
      <c r="H152" s="55"/>
    </row>
    <row r="153" spans="1:8" x14ac:dyDescent="0.25">
      <c r="A153" s="50"/>
      <c r="D153" s="56"/>
      <c r="E153" s="51"/>
      <c r="F153" s="50"/>
      <c r="G153" s="55"/>
      <c r="H153" s="55"/>
    </row>
  </sheetData>
  <phoneticPr fontId="6" type="noConversion"/>
  <pageMargins left="0.75" right="0.75" top="1" bottom="1" header="0.5" footer="0.5"/>
  <pageSetup paperSize="9" orientation="portrait" horizontalDpi="1200" verticalDpi="12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43"/>
  </sheetPr>
  <dimension ref="A1:D2"/>
  <sheetViews>
    <sheetView zoomScaleNormal="100" workbookViewId="0">
      <selection activeCell="C2" sqref="C2"/>
    </sheetView>
  </sheetViews>
  <sheetFormatPr defaultRowHeight="16.5" x14ac:dyDescent="0.25"/>
  <cols>
    <col min="1" max="1" width="13.25" bestFit="1" customWidth="1"/>
    <col min="2" max="2" width="86.375" customWidth="1"/>
    <col min="3" max="3" width="6.875" customWidth="1"/>
    <col min="5" max="5" width="10.625" customWidth="1"/>
    <col min="6" max="6" width="14.75" customWidth="1"/>
    <col min="7" max="7" width="12.375" customWidth="1"/>
    <col min="8" max="8" width="11.25" customWidth="1"/>
  </cols>
  <sheetData>
    <row r="1" spans="1:4" x14ac:dyDescent="0.25">
      <c r="A1" s="2" t="s">
        <v>0</v>
      </c>
      <c r="B1" s="3" t="s">
        <v>62</v>
      </c>
      <c r="C1" s="3" t="s">
        <v>1</v>
      </c>
      <c r="D1" s="4" t="s">
        <v>2</v>
      </c>
    </row>
    <row r="2" spans="1:4" x14ac:dyDescent="0.25">
      <c r="A2" s="20"/>
      <c r="B2" s="22"/>
      <c r="C2" s="6"/>
      <c r="D2" s="21"/>
    </row>
  </sheetData>
  <phoneticPr fontId="6" type="noConversion"/>
  <pageMargins left="0.75" right="0.75" top="1" bottom="1" header="0.5" footer="0.5"/>
  <pageSetup paperSize="9" orientation="portrait" verticalDpi="12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D2"/>
  <sheetViews>
    <sheetView workbookViewId="0">
      <selection activeCell="B3" sqref="B3"/>
    </sheetView>
  </sheetViews>
  <sheetFormatPr defaultRowHeight="16.5" x14ac:dyDescent="0.25"/>
  <cols>
    <col min="2" max="2" width="39.875" customWidth="1"/>
    <col min="4" max="4" width="10.625" customWidth="1"/>
  </cols>
  <sheetData>
    <row r="1" spans="1:4" x14ac:dyDescent="0.25">
      <c r="A1" s="101" t="s">
        <v>0</v>
      </c>
      <c r="B1" s="102" t="s">
        <v>3</v>
      </c>
      <c r="C1" s="102" t="s">
        <v>1</v>
      </c>
      <c r="D1" s="103" t="s">
        <v>2</v>
      </c>
    </row>
    <row r="2" spans="1:4" x14ac:dyDescent="0.25">
      <c r="A2" s="100">
        <v>1</v>
      </c>
      <c r="B2" s="104" t="s">
        <v>423</v>
      </c>
      <c r="C2" s="100" t="s">
        <v>250</v>
      </c>
      <c r="D2" s="105">
        <v>30</v>
      </c>
    </row>
  </sheetData>
  <phoneticPr fontId="6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T17"/>
  <sheetViews>
    <sheetView workbookViewId="0">
      <selection activeCell="B7" sqref="B7"/>
    </sheetView>
  </sheetViews>
  <sheetFormatPr defaultRowHeight="16.5" x14ac:dyDescent="0.25"/>
  <cols>
    <col min="1" max="1" width="15.625" customWidth="1"/>
    <col min="2" max="2" width="22.75" customWidth="1"/>
    <col min="3" max="3" width="15.625" customWidth="1"/>
    <col min="4" max="4" width="22.75" customWidth="1"/>
    <col min="5" max="5" width="15.625" customWidth="1"/>
    <col min="6" max="6" width="22.75" customWidth="1"/>
    <col min="7" max="7" width="15.625" customWidth="1"/>
    <col min="8" max="8" width="22.75" customWidth="1"/>
    <col min="9" max="9" width="15.625" customWidth="1"/>
    <col min="10" max="10" width="22.75" customWidth="1"/>
    <col min="11" max="11" width="15.625" customWidth="1"/>
    <col min="12" max="12" width="22.75" customWidth="1"/>
    <col min="13" max="13" width="15.625" customWidth="1"/>
    <col min="14" max="14" width="22.75" customWidth="1"/>
    <col min="15" max="15" width="15.625" customWidth="1"/>
    <col min="16" max="16" width="22.75" customWidth="1"/>
    <col min="17" max="17" width="15.625" customWidth="1"/>
    <col min="18" max="18" width="22.75" customWidth="1"/>
    <col min="19" max="19" width="15.625" customWidth="1"/>
    <col min="20" max="20" width="22.75" customWidth="1"/>
  </cols>
  <sheetData>
    <row r="1" spans="1:20" x14ac:dyDescent="0.25">
      <c r="A1" s="130" t="s">
        <v>465</v>
      </c>
      <c r="B1" s="130" t="s">
        <v>466</v>
      </c>
      <c r="C1" s="57" t="s">
        <v>189</v>
      </c>
      <c r="D1" s="57" t="s">
        <v>190</v>
      </c>
      <c r="E1" s="43" t="s">
        <v>88</v>
      </c>
      <c r="F1" s="43" t="s">
        <v>89</v>
      </c>
      <c r="G1" s="43" t="s">
        <v>88</v>
      </c>
      <c r="H1" s="43" t="s">
        <v>89</v>
      </c>
      <c r="I1" s="43" t="s">
        <v>88</v>
      </c>
      <c r="J1" s="43" t="s">
        <v>89</v>
      </c>
      <c r="K1" s="43" t="s">
        <v>88</v>
      </c>
      <c r="L1" s="43" t="s">
        <v>89</v>
      </c>
      <c r="M1" s="43" t="s">
        <v>88</v>
      </c>
      <c r="N1" s="43" t="s">
        <v>89</v>
      </c>
      <c r="O1" s="43" t="s">
        <v>88</v>
      </c>
      <c r="P1" s="43" t="s">
        <v>89</v>
      </c>
      <c r="Q1" s="61" t="s">
        <v>195</v>
      </c>
      <c r="R1" s="61" t="s">
        <v>196</v>
      </c>
      <c r="S1" s="57" t="s">
        <v>189</v>
      </c>
      <c r="T1" s="57" t="s">
        <v>190</v>
      </c>
    </row>
    <row r="2" spans="1:20" x14ac:dyDescent="0.25">
      <c r="A2" s="128" t="s">
        <v>462</v>
      </c>
      <c r="B2" s="128" t="s">
        <v>94</v>
      </c>
      <c r="C2" s="58" t="s">
        <v>191</v>
      </c>
      <c r="D2" s="58" t="s">
        <v>94</v>
      </c>
      <c r="E2" s="44" t="s">
        <v>108</v>
      </c>
      <c r="F2" s="44" t="s">
        <v>109</v>
      </c>
      <c r="G2" s="44" t="s">
        <v>106</v>
      </c>
      <c r="H2" s="44" t="s">
        <v>107</v>
      </c>
      <c r="I2" s="44" t="s">
        <v>106</v>
      </c>
      <c r="J2" s="44" t="s">
        <v>110</v>
      </c>
      <c r="K2" s="45" t="s">
        <v>111</v>
      </c>
      <c r="L2" s="45" t="s">
        <v>94</v>
      </c>
      <c r="M2" s="44" t="s">
        <v>112</v>
      </c>
      <c r="N2" s="44" t="s">
        <v>94</v>
      </c>
      <c r="O2" s="44" t="s">
        <v>90</v>
      </c>
      <c r="P2" s="44" t="s">
        <v>94</v>
      </c>
      <c r="Q2" s="62" t="s">
        <v>106</v>
      </c>
      <c r="R2" s="62" t="s">
        <v>94</v>
      </c>
      <c r="S2" s="44" t="s">
        <v>112</v>
      </c>
      <c r="T2" s="44" t="s">
        <v>94</v>
      </c>
    </row>
    <row r="3" spans="1:20" x14ac:dyDescent="0.25">
      <c r="A3" s="129" t="s">
        <v>90</v>
      </c>
      <c r="B3" s="128" t="s">
        <v>96</v>
      </c>
      <c r="C3" s="58" t="s">
        <v>97</v>
      </c>
      <c r="D3" s="58" t="s">
        <v>95</v>
      </c>
      <c r="E3" s="44" t="s">
        <v>115</v>
      </c>
      <c r="F3" s="44" t="s">
        <v>116</v>
      </c>
      <c r="G3" s="44" t="s">
        <v>117</v>
      </c>
      <c r="H3" s="44" t="s">
        <v>118</v>
      </c>
      <c r="I3" s="44" t="s">
        <v>90</v>
      </c>
      <c r="J3" s="44" t="s">
        <v>119</v>
      </c>
      <c r="K3" s="45" t="s">
        <v>120</v>
      </c>
      <c r="L3" s="45" t="s">
        <v>121</v>
      </c>
      <c r="M3" s="44" t="s">
        <v>122</v>
      </c>
      <c r="N3" s="44" t="s">
        <v>95</v>
      </c>
      <c r="O3" s="44" t="s">
        <v>91</v>
      </c>
      <c r="P3" s="44" t="s">
        <v>95</v>
      </c>
      <c r="Q3" s="62" t="s">
        <v>90</v>
      </c>
      <c r="R3" s="62" t="s">
        <v>197</v>
      </c>
      <c r="S3" s="44" t="s">
        <v>122</v>
      </c>
      <c r="T3" s="44" t="s">
        <v>95</v>
      </c>
    </row>
    <row r="4" spans="1:20" x14ac:dyDescent="0.25">
      <c r="A4" s="128" t="s">
        <v>92</v>
      </c>
      <c r="B4" s="128" t="s">
        <v>95</v>
      </c>
      <c r="C4" s="58" t="s">
        <v>192</v>
      </c>
      <c r="D4" s="58" t="s">
        <v>96</v>
      </c>
      <c r="E4" s="44" t="s">
        <v>123</v>
      </c>
      <c r="F4" s="44" t="s">
        <v>124</v>
      </c>
      <c r="G4" s="44" t="s">
        <v>114</v>
      </c>
      <c r="H4" s="44" t="s">
        <v>125</v>
      </c>
      <c r="I4" s="44" t="s">
        <v>91</v>
      </c>
      <c r="J4" s="44" t="s">
        <v>126</v>
      </c>
      <c r="K4" s="45" t="s">
        <v>127</v>
      </c>
      <c r="L4" s="45" t="s">
        <v>128</v>
      </c>
      <c r="M4" s="44" t="s">
        <v>129</v>
      </c>
      <c r="N4" s="44" t="s">
        <v>96</v>
      </c>
      <c r="O4" s="44" t="s">
        <v>92</v>
      </c>
      <c r="P4" s="44" t="s">
        <v>96</v>
      </c>
      <c r="Q4" s="62" t="s">
        <v>91</v>
      </c>
      <c r="R4" s="62" t="s">
        <v>95</v>
      </c>
      <c r="S4" s="44" t="s">
        <v>129</v>
      </c>
      <c r="T4" s="44" t="s">
        <v>96</v>
      </c>
    </row>
    <row r="5" spans="1:20" x14ac:dyDescent="0.25">
      <c r="A5" s="128" t="s">
        <v>99</v>
      </c>
      <c r="B5" s="128" t="s">
        <v>98</v>
      </c>
      <c r="C5" s="58" t="s">
        <v>99</v>
      </c>
      <c r="D5" s="58" t="s">
        <v>98</v>
      </c>
      <c r="E5" s="44"/>
      <c r="F5" s="44" t="s">
        <v>130</v>
      </c>
      <c r="G5" s="44" t="s">
        <v>92</v>
      </c>
      <c r="H5" s="44" t="s">
        <v>131</v>
      </c>
      <c r="I5" s="44" t="s">
        <v>92</v>
      </c>
      <c r="J5" s="44" t="s">
        <v>132</v>
      </c>
      <c r="K5" s="45" t="s">
        <v>133</v>
      </c>
      <c r="L5" s="45" t="s">
        <v>134</v>
      </c>
      <c r="M5" s="44" t="s">
        <v>135</v>
      </c>
      <c r="N5" s="44" t="s">
        <v>98</v>
      </c>
      <c r="O5" s="44" t="s">
        <v>97</v>
      </c>
      <c r="P5" s="44" t="s">
        <v>98</v>
      </c>
      <c r="Q5" s="62" t="s">
        <v>92</v>
      </c>
      <c r="R5" s="62" t="s">
        <v>96</v>
      </c>
      <c r="S5" s="44" t="s">
        <v>135</v>
      </c>
      <c r="T5" s="44" t="s">
        <v>98</v>
      </c>
    </row>
    <row r="6" spans="1:20" x14ac:dyDescent="0.25">
      <c r="A6" s="128" t="s">
        <v>463</v>
      </c>
      <c r="B6" s="128" t="s">
        <v>100</v>
      </c>
      <c r="C6" s="58" t="s">
        <v>193</v>
      </c>
      <c r="D6" s="58" t="s">
        <v>100</v>
      </c>
      <c r="E6" s="44"/>
      <c r="F6" s="44" t="s">
        <v>136</v>
      </c>
      <c r="G6" s="44"/>
      <c r="H6" s="44" t="s">
        <v>137</v>
      </c>
      <c r="I6" s="44"/>
      <c r="J6" s="44" t="s">
        <v>138</v>
      </c>
      <c r="K6" s="45" t="s">
        <v>139</v>
      </c>
      <c r="L6" s="45" t="s">
        <v>140</v>
      </c>
      <c r="M6" s="44" t="s">
        <v>97</v>
      </c>
      <c r="N6" s="44" t="s">
        <v>100</v>
      </c>
      <c r="O6" s="44" t="s">
        <v>99</v>
      </c>
      <c r="P6" s="44" t="s">
        <v>100</v>
      </c>
      <c r="Q6" s="62"/>
      <c r="R6" s="62"/>
      <c r="S6" s="44" t="s">
        <v>97</v>
      </c>
      <c r="T6" s="44" t="s">
        <v>100</v>
      </c>
    </row>
    <row r="7" spans="1:20" x14ac:dyDescent="0.25">
      <c r="A7" s="128" t="s">
        <v>464</v>
      </c>
      <c r="B7" s="128"/>
      <c r="C7" s="58" t="s">
        <v>194</v>
      </c>
      <c r="D7" s="58"/>
      <c r="E7" s="44"/>
      <c r="F7" s="44"/>
      <c r="G7" s="44"/>
      <c r="H7" s="44" t="s">
        <v>113</v>
      </c>
      <c r="I7" s="44"/>
      <c r="J7" s="44"/>
      <c r="K7" s="45" t="s">
        <v>141</v>
      </c>
      <c r="L7" s="45" t="s">
        <v>142</v>
      </c>
      <c r="M7" s="44" t="s">
        <v>92</v>
      </c>
      <c r="N7" s="44"/>
      <c r="O7" s="44" t="s">
        <v>101</v>
      </c>
      <c r="P7" s="44"/>
      <c r="Q7" s="62"/>
      <c r="R7" s="62"/>
      <c r="S7" s="44" t="s">
        <v>102</v>
      </c>
      <c r="T7" s="44"/>
    </row>
    <row r="8" spans="1:20" x14ac:dyDescent="0.25">
      <c r="A8" s="128"/>
      <c r="B8" s="131"/>
      <c r="E8" s="44"/>
      <c r="F8" s="44"/>
      <c r="G8" s="44"/>
      <c r="H8" s="44"/>
      <c r="I8" s="44"/>
      <c r="J8" s="44"/>
      <c r="K8" s="45" t="s">
        <v>143</v>
      </c>
      <c r="L8" s="45" t="s">
        <v>144</v>
      </c>
      <c r="M8" s="44" t="s">
        <v>99</v>
      </c>
      <c r="N8" s="44"/>
      <c r="O8" s="44" t="s">
        <v>102</v>
      </c>
      <c r="P8" s="44"/>
      <c r="Q8" s="62"/>
      <c r="R8" s="62"/>
      <c r="S8" s="44" t="s">
        <v>92</v>
      </c>
      <c r="T8" s="44"/>
    </row>
    <row r="9" spans="1:20" x14ac:dyDescent="0.25">
      <c r="A9" s="128"/>
      <c r="K9" s="45" t="s">
        <v>145</v>
      </c>
      <c r="L9" s="45" t="s">
        <v>146</v>
      </c>
      <c r="M9" s="44" t="s">
        <v>101</v>
      </c>
      <c r="O9" s="44" t="s">
        <v>103</v>
      </c>
      <c r="S9" s="44" t="s">
        <v>103</v>
      </c>
    </row>
    <row r="10" spans="1:20" x14ac:dyDescent="0.25">
      <c r="A10" s="128"/>
      <c r="K10" s="45" t="s">
        <v>147</v>
      </c>
      <c r="L10" s="45" t="s">
        <v>148</v>
      </c>
      <c r="M10" s="44" t="s">
        <v>102</v>
      </c>
    </row>
    <row r="11" spans="1:20" x14ac:dyDescent="0.25">
      <c r="A11" s="128"/>
      <c r="K11" s="45" t="s">
        <v>149</v>
      </c>
      <c r="L11" s="45" t="s">
        <v>150</v>
      </c>
      <c r="M11" s="44" t="s">
        <v>103</v>
      </c>
    </row>
    <row r="12" spans="1:20" x14ac:dyDescent="0.25">
      <c r="K12" s="45" t="s">
        <v>151</v>
      </c>
      <c r="L12" s="45" t="s">
        <v>152</v>
      </c>
    </row>
    <row r="13" spans="1:20" x14ac:dyDescent="0.25">
      <c r="K13" s="45" t="s">
        <v>153</v>
      </c>
      <c r="L13" s="45" t="s">
        <v>154</v>
      </c>
    </row>
    <row r="14" spans="1:20" x14ac:dyDescent="0.25">
      <c r="K14" s="45" t="s">
        <v>155</v>
      </c>
      <c r="L14" s="45" t="s">
        <v>156</v>
      </c>
    </row>
    <row r="15" spans="1:20" x14ac:dyDescent="0.25">
      <c r="K15" s="45" t="s">
        <v>157</v>
      </c>
      <c r="L15" s="45" t="s">
        <v>158</v>
      </c>
    </row>
    <row r="16" spans="1:20" x14ac:dyDescent="0.25">
      <c r="K16" s="46" t="s">
        <v>159</v>
      </c>
    </row>
    <row r="17" spans="11:11" x14ac:dyDescent="0.25">
      <c r="K17" s="47" t="s">
        <v>160</v>
      </c>
    </row>
  </sheetData>
  <phoneticPr fontId="6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F0"/>
  </sheetPr>
  <dimension ref="A1:G54"/>
  <sheetViews>
    <sheetView zoomScale="115" zoomScaleNormal="115" workbookViewId="0">
      <selection activeCell="A10" sqref="A10:E54"/>
    </sheetView>
  </sheetViews>
  <sheetFormatPr defaultColWidth="9" defaultRowHeight="12.75" customHeight="1" x14ac:dyDescent="0.25"/>
  <cols>
    <col min="1" max="1" width="7.875" customWidth="1"/>
    <col min="2" max="2" width="38.25" customWidth="1"/>
    <col min="3" max="3" width="5.875" customWidth="1"/>
    <col min="4" max="5" width="9.375" customWidth="1"/>
    <col min="6" max="6" width="10.375" bestFit="1" customWidth="1"/>
    <col min="7" max="7" width="10.5" customWidth="1"/>
    <col min="8" max="8" width="14.125" customWidth="1"/>
    <col min="9" max="9" width="10.125" bestFit="1" customWidth="1"/>
  </cols>
  <sheetData>
    <row r="1" spans="1:7" ht="24" customHeight="1" x14ac:dyDescent="0.25">
      <c r="A1" s="295" t="s">
        <v>212</v>
      </c>
      <c r="B1" s="295"/>
      <c r="C1" s="295"/>
      <c r="D1" s="295"/>
      <c r="E1" s="295"/>
      <c r="F1" s="295"/>
      <c r="G1" s="295"/>
    </row>
    <row r="2" spans="1:7" ht="24" customHeight="1" x14ac:dyDescent="0.25">
      <c r="A2" s="295" t="s">
        <v>168</v>
      </c>
      <c r="B2" s="295"/>
      <c r="C2" s="295"/>
      <c r="D2" s="295"/>
      <c r="E2" s="295"/>
      <c r="F2" s="295"/>
      <c r="G2" s="295"/>
    </row>
    <row r="3" spans="1:7" ht="14.25" customHeight="1" x14ac:dyDescent="0.25">
      <c r="A3" s="63"/>
      <c r="B3" s="63"/>
      <c r="C3" s="63"/>
      <c r="D3" s="63"/>
      <c r="E3" s="63"/>
      <c r="F3" s="296">
        <v>45579</v>
      </c>
      <c r="G3" s="296"/>
    </row>
    <row r="4" spans="1:7" ht="21" customHeight="1" x14ac:dyDescent="0.25">
      <c r="A4" s="63"/>
      <c r="B4" s="63"/>
      <c r="C4" s="63"/>
      <c r="D4" s="63"/>
      <c r="E4" s="63"/>
      <c r="F4" s="63"/>
      <c r="G4" s="63"/>
    </row>
    <row r="5" spans="1:7" ht="16.5" hidden="1" customHeight="1" x14ac:dyDescent="0.25">
      <c r="A5" s="64"/>
      <c r="B5" s="64"/>
      <c r="C5" s="64"/>
      <c r="D5" s="64"/>
      <c r="E5" s="64"/>
      <c r="F5" s="64"/>
      <c r="G5" s="64"/>
    </row>
    <row r="6" spans="1:7" ht="30" customHeight="1" x14ac:dyDescent="0.25">
      <c r="A6" s="65" t="s">
        <v>166</v>
      </c>
      <c r="B6" s="294" t="s">
        <v>213</v>
      </c>
      <c r="C6" s="294"/>
      <c r="D6" s="294"/>
      <c r="E6" s="65" t="s">
        <v>169</v>
      </c>
      <c r="F6" s="294"/>
      <c r="G6" s="294"/>
    </row>
    <row r="7" spans="1:7" ht="30" customHeight="1" x14ac:dyDescent="0.25">
      <c r="A7" s="65" t="s">
        <v>170</v>
      </c>
      <c r="B7" s="294" t="s">
        <v>212</v>
      </c>
      <c r="C7" s="294"/>
      <c r="D7" s="294"/>
      <c r="E7" s="65" t="s">
        <v>171</v>
      </c>
      <c r="F7" s="294" t="s">
        <v>214</v>
      </c>
      <c r="G7" s="294"/>
    </row>
    <row r="8" spans="1:7" ht="24" customHeight="1" x14ac:dyDescent="0.25">
      <c r="A8" s="65" t="s">
        <v>172</v>
      </c>
      <c r="B8" s="65" t="s">
        <v>173</v>
      </c>
      <c r="C8" s="65" t="s">
        <v>174</v>
      </c>
      <c r="D8" s="65" t="s">
        <v>104</v>
      </c>
      <c r="E8" s="65" t="s">
        <v>175</v>
      </c>
      <c r="F8" s="65" t="s">
        <v>176</v>
      </c>
      <c r="G8" s="65" t="s">
        <v>177</v>
      </c>
    </row>
    <row r="9" spans="1:7" ht="19.5" customHeight="1" x14ac:dyDescent="0.25">
      <c r="A9" s="66" t="s">
        <v>199</v>
      </c>
      <c r="B9" s="67" t="s">
        <v>215</v>
      </c>
      <c r="C9" s="68"/>
      <c r="D9" s="69"/>
      <c r="E9" s="70"/>
      <c r="F9" s="70"/>
      <c r="G9" s="71"/>
    </row>
    <row r="10" spans="1:7" ht="19.5" customHeight="1" x14ac:dyDescent="0.25">
      <c r="A10" s="66" t="s">
        <v>200</v>
      </c>
      <c r="B10" s="67" t="s">
        <v>105</v>
      </c>
      <c r="C10" s="68"/>
      <c r="D10" s="69"/>
      <c r="E10" s="70"/>
      <c r="F10" s="70"/>
      <c r="G10" s="71"/>
    </row>
    <row r="11" spans="1:7" ht="16.5" x14ac:dyDescent="0.25">
      <c r="A11" s="66" t="s">
        <v>216</v>
      </c>
      <c r="B11" s="67" t="s">
        <v>217</v>
      </c>
      <c r="C11" s="68" t="s">
        <v>66</v>
      </c>
      <c r="D11" s="69">
        <v>1</v>
      </c>
      <c r="E11" s="70">
        <v>50000</v>
      </c>
      <c r="F11" s="70">
        <v>50000</v>
      </c>
      <c r="G11" s="71" t="s">
        <v>218</v>
      </c>
    </row>
    <row r="12" spans="1:7" ht="12.75" customHeight="1" x14ac:dyDescent="0.25">
      <c r="A12" s="66" t="s">
        <v>219</v>
      </c>
      <c r="B12" s="67" t="s">
        <v>220</v>
      </c>
      <c r="C12" s="68" t="s">
        <v>201</v>
      </c>
      <c r="D12" s="69">
        <v>1</v>
      </c>
      <c r="E12" s="70">
        <v>3700</v>
      </c>
      <c r="F12" s="70">
        <v>3700</v>
      </c>
      <c r="G12" s="71" t="s">
        <v>221</v>
      </c>
    </row>
    <row r="13" spans="1:7" ht="12.75" customHeight="1" x14ac:dyDescent="0.25">
      <c r="A13" s="66" t="s">
        <v>222</v>
      </c>
      <c r="B13" s="78" t="s">
        <v>318</v>
      </c>
      <c r="C13" s="68" t="s">
        <v>66</v>
      </c>
      <c r="D13" s="69">
        <v>1</v>
      </c>
      <c r="E13" s="70">
        <v>119000</v>
      </c>
      <c r="F13" s="70">
        <v>119000</v>
      </c>
      <c r="G13" s="77" t="s">
        <v>316</v>
      </c>
    </row>
    <row r="14" spans="1:7" ht="12.75" customHeight="1" x14ac:dyDescent="0.25">
      <c r="A14" s="66" t="s">
        <v>223</v>
      </c>
      <c r="B14" s="67" t="s">
        <v>224</v>
      </c>
      <c r="C14" s="68" t="s">
        <v>66</v>
      </c>
      <c r="D14" s="69">
        <v>1</v>
      </c>
      <c r="E14" s="70">
        <v>12000</v>
      </c>
      <c r="F14" s="70">
        <v>12000</v>
      </c>
      <c r="G14" s="71" t="s">
        <v>225</v>
      </c>
    </row>
    <row r="15" spans="1:7" ht="12.75" customHeight="1" x14ac:dyDescent="0.25">
      <c r="A15" s="66" t="s">
        <v>202</v>
      </c>
      <c r="B15" s="67" t="s">
        <v>226</v>
      </c>
      <c r="C15" s="68"/>
      <c r="D15" s="69"/>
      <c r="E15" s="70"/>
      <c r="F15" s="70"/>
      <c r="G15" s="71"/>
    </row>
    <row r="16" spans="1:7" ht="12.75" customHeight="1" x14ac:dyDescent="0.25">
      <c r="A16" s="66" t="s">
        <v>216</v>
      </c>
      <c r="B16" s="67" t="s">
        <v>227</v>
      </c>
      <c r="C16" s="68" t="s">
        <v>179</v>
      </c>
      <c r="D16" s="69">
        <v>3964</v>
      </c>
      <c r="E16" s="70">
        <v>40</v>
      </c>
      <c r="F16" s="70">
        <v>158560</v>
      </c>
      <c r="G16" s="71" t="s">
        <v>228</v>
      </c>
    </row>
    <row r="17" spans="1:7" ht="12.75" customHeight="1" x14ac:dyDescent="0.25">
      <c r="A17" s="66" t="s">
        <v>219</v>
      </c>
      <c r="B17" s="67" t="s">
        <v>229</v>
      </c>
      <c r="C17" s="68" t="s">
        <v>178</v>
      </c>
      <c r="D17" s="69">
        <v>288</v>
      </c>
      <c r="E17" s="70">
        <v>396</v>
      </c>
      <c r="F17" s="70">
        <v>114048</v>
      </c>
      <c r="G17" s="71" t="s">
        <v>230</v>
      </c>
    </row>
    <row r="18" spans="1:7" ht="12.75" customHeight="1" x14ac:dyDescent="0.25">
      <c r="A18" s="66" t="s">
        <v>222</v>
      </c>
      <c r="B18" s="67" t="s">
        <v>231</v>
      </c>
      <c r="C18" s="68" t="s">
        <v>178</v>
      </c>
      <c r="D18" s="69">
        <v>119</v>
      </c>
      <c r="E18" s="70">
        <v>200</v>
      </c>
      <c r="F18" s="70">
        <v>23800</v>
      </c>
      <c r="G18" s="71" t="s">
        <v>232</v>
      </c>
    </row>
    <row r="19" spans="1:7" ht="12.75" customHeight="1" x14ac:dyDescent="0.25">
      <c r="A19" s="66" t="s">
        <v>223</v>
      </c>
      <c r="B19" s="67" t="s">
        <v>233</v>
      </c>
      <c r="C19" s="68" t="s">
        <v>178</v>
      </c>
      <c r="D19" s="69">
        <v>175</v>
      </c>
      <c r="E19" s="70">
        <v>2000</v>
      </c>
      <c r="F19" s="70">
        <v>350000</v>
      </c>
      <c r="G19" s="71" t="s">
        <v>234</v>
      </c>
    </row>
    <row r="20" spans="1:7" ht="12.75" customHeight="1" x14ac:dyDescent="0.25">
      <c r="A20" s="66" t="s">
        <v>235</v>
      </c>
      <c r="B20" s="67" t="s">
        <v>236</v>
      </c>
      <c r="C20" s="68" t="s">
        <v>178</v>
      </c>
      <c r="D20" s="69">
        <v>121</v>
      </c>
      <c r="E20" s="70">
        <v>911</v>
      </c>
      <c r="F20" s="70">
        <v>110231</v>
      </c>
      <c r="G20" s="71" t="s">
        <v>237</v>
      </c>
    </row>
    <row r="21" spans="1:7" ht="12.75" customHeight="1" x14ac:dyDescent="0.25">
      <c r="A21" s="66" t="s">
        <v>238</v>
      </c>
      <c r="B21" s="67" t="s">
        <v>239</v>
      </c>
      <c r="C21" s="68" t="s">
        <v>93</v>
      </c>
      <c r="D21" s="69">
        <v>15</v>
      </c>
      <c r="E21" s="70">
        <v>4600</v>
      </c>
      <c r="F21" s="70">
        <v>69000</v>
      </c>
      <c r="G21" s="71" t="s">
        <v>240</v>
      </c>
    </row>
    <row r="22" spans="1:7" ht="12.75" customHeight="1" x14ac:dyDescent="0.25">
      <c r="A22" s="66" t="s">
        <v>241</v>
      </c>
      <c r="B22" s="67" t="s">
        <v>242</v>
      </c>
      <c r="C22" s="68" t="s">
        <v>178</v>
      </c>
      <c r="D22" s="69">
        <v>150</v>
      </c>
      <c r="E22" s="70">
        <v>5575</v>
      </c>
      <c r="F22" s="70">
        <v>836250</v>
      </c>
      <c r="G22" s="71" t="s">
        <v>243</v>
      </c>
    </row>
    <row r="23" spans="1:7" ht="12.75" customHeight="1" x14ac:dyDescent="0.25">
      <c r="A23" s="66" t="s">
        <v>244</v>
      </c>
      <c r="B23" s="67" t="s">
        <v>245</v>
      </c>
      <c r="C23" s="68" t="s">
        <v>246</v>
      </c>
      <c r="D23" s="69">
        <v>14</v>
      </c>
      <c r="E23" s="70">
        <v>2500</v>
      </c>
      <c r="F23" s="70">
        <v>35000</v>
      </c>
      <c r="G23" s="71" t="s">
        <v>247</v>
      </c>
    </row>
    <row r="24" spans="1:7" ht="12.75" customHeight="1" x14ac:dyDescent="0.25">
      <c r="A24" s="66" t="s">
        <v>248</v>
      </c>
      <c r="B24" s="67" t="s">
        <v>249</v>
      </c>
      <c r="C24" s="68" t="s">
        <v>250</v>
      </c>
      <c r="D24" s="69">
        <v>243</v>
      </c>
      <c r="E24" s="70">
        <v>350</v>
      </c>
      <c r="F24" s="70">
        <v>85050</v>
      </c>
      <c r="G24" s="71" t="s">
        <v>251</v>
      </c>
    </row>
    <row r="25" spans="1:7" ht="12.75" customHeight="1" x14ac:dyDescent="0.25">
      <c r="A25" s="66" t="s">
        <v>252</v>
      </c>
      <c r="B25" s="78" t="s">
        <v>319</v>
      </c>
      <c r="C25" s="68" t="s">
        <v>179</v>
      </c>
      <c r="D25" s="69">
        <v>2428</v>
      </c>
      <c r="E25" s="70">
        <v>675</v>
      </c>
      <c r="F25" s="70">
        <v>1638900</v>
      </c>
      <c r="G25" s="77" t="s">
        <v>317</v>
      </c>
    </row>
    <row r="26" spans="1:7" ht="12.75" customHeight="1" x14ac:dyDescent="0.25">
      <c r="A26" s="66" t="s">
        <v>253</v>
      </c>
      <c r="B26" s="67" t="s">
        <v>205</v>
      </c>
      <c r="C26" s="68" t="s">
        <v>179</v>
      </c>
      <c r="D26" s="69">
        <v>2428</v>
      </c>
      <c r="E26" s="70">
        <v>25</v>
      </c>
      <c r="F26" s="70">
        <v>60700</v>
      </c>
      <c r="G26" s="71" t="s">
        <v>254</v>
      </c>
    </row>
    <row r="27" spans="1:7" ht="12.75" customHeight="1" x14ac:dyDescent="0.25">
      <c r="A27" s="66" t="s">
        <v>255</v>
      </c>
      <c r="B27" s="67" t="s">
        <v>206</v>
      </c>
      <c r="C27" s="68" t="s">
        <v>179</v>
      </c>
      <c r="D27" s="69">
        <v>2428</v>
      </c>
      <c r="E27" s="70">
        <v>25</v>
      </c>
      <c r="F27" s="70">
        <v>60700</v>
      </c>
      <c r="G27" s="71" t="s">
        <v>256</v>
      </c>
    </row>
    <row r="28" spans="1:7" ht="12.75" customHeight="1" x14ac:dyDescent="0.25">
      <c r="A28" s="66" t="s">
        <v>257</v>
      </c>
      <c r="B28" s="67" t="s">
        <v>258</v>
      </c>
      <c r="C28" s="68" t="s">
        <v>179</v>
      </c>
      <c r="D28" s="69">
        <v>2428</v>
      </c>
      <c r="E28" s="70">
        <v>775</v>
      </c>
      <c r="F28" s="70">
        <v>1881700</v>
      </c>
      <c r="G28" s="71" t="s">
        <v>259</v>
      </c>
    </row>
    <row r="29" spans="1:7" ht="12.75" customHeight="1" x14ac:dyDescent="0.25">
      <c r="A29" s="66" t="s">
        <v>260</v>
      </c>
      <c r="B29" s="67" t="s">
        <v>261</v>
      </c>
      <c r="C29" s="68" t="s">
        <v>179</v>
      </c>
      <c r="D29" s="69">
        <v>2428</v>
      </c>
      <c r="E29" s="70">
        <v>25</v>
      </c>
      <c r="F29" s="70">
        <v>60700</v>
      </c>
      <c r="G29" s="71" t="s">
        <v>262</v>
      </c>
    </row>
    <row r="30" spans="1:7" ht="12.75" customHeight="1" x14ac:dyDescent="0.25">
      <c r="A30" s="66" t="s">
        <v>263</v>
      </c>
      <c r="B30" s="67" t="s">
        <v>264</v>
      </c>
      <c r="C30" s="68" t="s">
        <v>179</v>
      </c>
      <c r="D30" s="69">
        <v>1583</v>
      </c>
      <c r="E30" s="70">
        <v>2298</v>
      </c>
      <c r="F30" s="70">
        <v>3637734</v>
      </c>
      <c r="G30" s="71" t="s">
        <v>265</v>
      </c>
    </row>
    <row r="31" spans="1:7" ht="12.75" customHeight="1" x14ac:dyDescent="0.25">
      <c r="A31" s="66" t="s">
        <v>266</v>
      </c>
      <c r="B31" s="67" t="s">
        <v>267</v>
      </c>
      <c r="C31" s="68" t="s">
        <v>179</v>
      </c>
      <c r="D31" s="69">
        <v>1583</v>
      </c>
      <c r="E31" s="70">
        <v>25</v>
      </c>
      <c r="F31" s="70">
        <v>39575</v>
      </c>
      <c r="G31" s="71" t="s">
        <v>268</v>
      </c>
    </row>
    <row r="32" spans="1:7" ht="12.75" customHeight="1" x14ac:dyDescent="0.25">
      <c r="A32" s="66" t="s">
        <v>269</v>
      </c>
      <c r="B32" s="67" t="s">
        <v>270</v>
      </c>
      <c r="C32" s="68" t="s">
        <v>198</v>
      </c>
      <c r="D32" s="69">
        <v>1</v>
      </c>
      <c r="E32" s="70">
        <v>60000</v>
      </c>
      <c r="F32" s="70">
        <v>60000</v>
      </c>
      <c r="G32" s="71" t="s">
        <v>271</v>
      </c>
    </row>
    <row r="33" spans="1:7" ht="12.75" customHeight="1" x14ac:dyDescent="0.25">
      <c r="A33" s="66" t="s">
        <v>272</v>
      </c>
      <c r="B33" s="67" t="s">
        <v>273</v>
      </c>
      <c r="C33" s="68" t="s">
        <v>179</v>
      </c>
      <c r="D33" s="69">
        <v>845</v>
      </c>
      <c r="E33" s="70">
        <v>600</v>
      </c>
      <c r="F33" s="70">
        <v>507000</v>
      </c>
      <c r="G33" s="71" t="s">
        <v>274</v>
      </c>
    </row>
    <row r="34" spans="1:7" ht="12.75" customHeight="1" x14ac:dyDescent="0.25">
      <c r="A34" s="66" t="s">
        <v>275</v>
      </c>
      <c r="B34" s="67" t="s">
        <v>276</v>
      </c>
      <c r="C34" s="68" t="s">
        <v>198</v>
      </c>
      <c r="D34" s="69">
        <v>2</v>
      </c>
      <c r="E34" s="70">
        <v>8000</v>
      </c>
      <c r="F34" s="70">
        <v>16000</v>
      </c>
      <c r="G34" s="71" t="s">
        <v>277</v>
      </c>
    </row>
    <row r="35" spans="1:7" ht="12.75" customHeight="1" x14ac:dyDescent="0.25">
      <c r="A35" s="72" t="s">
        <v>278</v>
      </c>
      <c r="B35" s="73" t="s">
        <v>279</v>
      </c>
      <c r="C35" s="72" t="s">
        <v>93</v>
      </c>
      <c r="D35" s="74">
        <v>1</v>
      </c>
      <c r="E35" s="75">
        <v>95000</v>
      </c>
      <c r="F35" s="75">
        <v>95000</v>
      </c>
      <c r="G35" s="76" t="s">
        <v>280</v>
      </c>
    </row>
    <row r="36" spans="1:7" ht="12.75" customHeight="1" x14ac:dyDescent="0.25">
      <c r="A36" s="66" t="s">
        <v>281</v>
      </c>
      <c r="B36" s="67" t="s">
        <v>282</v>
      </c>
      <c r="C36" s="68" t="s">
        <v>93</v>
      </c>
      <c r="D36" s="69">
        <v>1</v>
      </c>
      <c r="E36" s="70">
        <v>14000</v>
      </c>
      <c r="F36" s="70">
        <v>14000</v>
      </c>
      <c r="G36" s="71" t="s">
        <v>283</v>
      </c>
    </row>
    <row r="37" spans="1:7" ht="12.75" customHeight="1" x14ac:dyDescent="0.25">
      <c r="A37" s="66" t="s">
        <v>284</v>
      </c>
      <c r="B37" s="67" t="s">
        <v>285</v>
      </c>
      <c r="C37" s="68" t="s">
        <v>178</v>
      </c>
      <c r="D37" s="69">
        <v>125</v>
      </c>
      <c r="E37" s="70">
        <v>4045</v>
      </c>
      <c r="F37" s="70">
        <v>505625</v>
      </c>
      <c r="G37" s="71" t="s">
        <v>286</v>
      </c>
    </row>
    <row r="38" spans="1:7" ht="12.75" customHeight="1" x14ac:dyDescent="0.25">
      <c r="A38" s="66" t="s">
        <v>287</v>
      </c>
      <c r="B38" s="67" t="s">
        <v>288</v>
      </c>
      <c r="C38" s="68" t="s">
        <v>289</v>
      </c>
      <c r="D38" s="69">
        <v>1</v>
      </c>
      <c r="E38" s="70">
        <v>6000</v>
      </c>
      <c r="F38" s="70">
        <v>6000</v>
      </c>
      <c r="G38" s="71" t="s">
        <v>290</v>
      </c>
    </row>
    <row r="39" spans="1:7" ht="12.75" customHeight="1" x14ac:dyDescent="0.25">
      <c r="A39" s="66" t="s">
        <v>291</v>
      </c>
      <c r="B39" s="67" t="s">
        <v>292</v>
      </c>
      <c r="C39" s="68" t="s">
        <v>66</v>
      </c>
      <c r="D39" s="69">
        <v>1</v>
      </c>
      <c r="E39" s="70">
        <v>8000</v>
      </c>
      <c r="F39" s="70">
        <v>8000</v>
      </c>
      <c r="G39" s="71" t="s">
        <v>293</v>
      </c>
    </row>
    <row r="40" spans="1:7" ht="12.75" customHeight="1" x14ac:dyDescent="0.25">
      <c r="A40" s="66" t="s">
        <v>203</v>
      </c>
      <c r="B40" s="67" t="s">
        <v>294</v>
      </c>
      <c r="C40" s="68" t="s">
        <v>198</v>
      </c>
      <c r="D40" s="69"/>
      <c r="E40" s="70"/>
      <c r="F40" s="70"/>
      <c r="G40" s="71"/>
    </row>
    <row r="41" spans="1:7" ht="12.75" customHeight="1" x14ac:dyDescent="0.25">
      <c r="A41" s="66" t="s">
        <v>216</v>
      </c>
      <c r="B41" s="67" t="s">
        <v>229</v>
      </c>
      <c r="C41" s="68" t="s">
        <v>178</v>
      </c>
      <c r="D41" s="69">
        <v>24</v>
      </c>
      <c r="E41" s="70">
        <v>396</v>
      </c>
      <c r="F41" s="70">
        <v>9504</v>
      </c>
      <c r="G41" s="71" t="s">
        <v>230</v>
      </c>
    </row>
    <row r="42" spans="1:7" ht="12.75" customHeight="1" x14ac:dyDescent="0.25">
      <c r="A42" s="66" t="s">
        <v>219</v>
      </c>
      <c r="B42" s="67" t="s">
        <v>295</v>
      </c>
      <c r="C42" s="68" t="s">
        <v>250</v>
      </c>
      <c r="D42" s="69">
        <v>8</v>
      </c>
      <c r="E42" s="70">
        <v>10000</v>
      </c>
      <c r="F42" s="70">
        <v>80000</v>
      </c>
      <c r="G42" s="71" t="s">
        <v>296</v>
      </c>
    </row>
    <row r="43" spans="1:7" ht="12.75" customHeight="1" x14ac:dyDescent="0.25">
      <c r="A43" s="66" t="s">
        <v>222</v>
      </c>
      <c r="B43" s="67" t="s">
        <v>297</v>
      </c>
      <c r="C43" s="68" t="s">
        <v>93</v>
      </c>
      <c r="D43" s="69">
        <v>1</v>
      </c>
      <c r="E43" s="70">
        <v>8000</v>
      </c>
      <c r="F43" s="70">
        <v>8000</v>
      </c>
      <c r="G43" s="71" t="s">
        <v>298</v>
      </c>
    </row>
    <row r="44" spans="1:7" ht="12.75" customHeight="1" x14ac:dyDescent="0.25">
      <c r="A44" s="66" t="s">
        <v>207</v>
      </c>
      <c r="B44" s="67" t="s">
        <v>299</v>
      </c>
      <c r="C44" s="68"/>
      <c r="D44" s="69"/>
      <c r="E44" s="70"/>
      <c r="F44" s="70"/>
      <c r="G44" s="71"/>
    </row>
    <row r="45" spans="1:7" ht="12.75" customHeight="1" x14ac:dyDescent="0.25">
      <c r="A45" s="66" t="s">
        <v>216</v>
      </c>
      <c r="B45" s="67" t="s">
        <v>249</v>
      </c>
      <c r="C45" s="68" t="s">
        <v>250</v>
      </c>
      <c r="D45" s="69">
        <v>461</v>
      </c>
      <c r="E45" s="70">
        <v>350</v>
      </c>
      <c r="F45" s="70">
        <v>161350</v>
      </c>
      <c r="G45" s="71" t="s">
        <v>300</v>
      </c>
    </row>
    <row r="46" spans="1:7" ht="12.75" customHeight="1" x14ac:dyDescent="0.25">
      <c r="A46" s="66" t="s">
        <v>219</v>
      </c>
      <c r="B46" s="67" t="s">
        <v>301</v>
      </c>
      <c r="C46" s="68" t="s">
        <v>204</v>
      </c>
      <c r="D46" s="69">
        <v>154</v>
      </c>
      <c r="E46" s="70">
        <v>500</v>
      </c>
      <c r="F46" s="70">
        <v>77000</v>
      </c>
      <c r="G46" s="71" t="s">
        <v>302</v>
      </c>
    </row>
    <row r="47" spans="1:7" ht="12.75" customHeight="1" x14ac:dyDescent="0.25">
      <c r="A47" s="66" t="s">
        <v>222</v>
      </c>
      <c r="B47" s="67" t="s">
        <v>303</v>
      </c>
      <c r="C47" s="68" t="s">
        <v>179</v>
      </c>
      <c r="D47" s="69">
        <v>1536</v>
      </c>
      <c r="E47" s="70">
        <v>375</v>
      </c>
      <c r="F47" s="70">
        <v>576000</v>
      </c>
      <c r="G47" s="71" t="s">
        <v>304</v>
      </c>
    </row>
    <row r="48" spans="1:7" ht="12.75" customHeight="1" x14ac:dyDescent="0.25">
      <c r="A48" s="66" t="s">
        <v>208</v>
      </c>
      <c r="B48" s="78" t="s">
        <v>320</v>
      </c>
      <c r="C48" s="68" t="s">
        <v>66</v>
      </c>
      <c r="D48" s="69">
        <v>1</v>
      </c>
      <c r="E48" s="70">
        <v>33900</v>
      </c>
      <c r="F48" s="70">
        <v>33900</v>
      </c>
      <c r="G48" s="71" t="s">
        <v>305</v>
      </c>
    </row>
    <row r="49" spans="1:7" ht="12.75" customHeight="1" x14ac:dyDescent="0.25">
      <c r="A49" s="66" t="s">
        <v>209</v>
      </c>
      <c r="B49" s="67" t="s">
        <v>306</v>
      </c>
      <c r="C49" s="68" t="s">
        <v>66</v>
      </c>
      <c r="D49" s="69">
        <v>1</v>
      </c>
      <c r="E49" s="70">
        <v>115040</v>
      </c>
      <c r="F49" s="70">
        <v>115040</v>
      </c>
      <c r="G49" s="71"/>
    </row>
    <row r="50" spans="1:7" ht="12.75" customHeight="1" x14ac:dyDescent="0.25">
      <c r="A50" s="66" t="s">
        <v>210</v>
      </c>
      <c r="B50" s="67" t="s">
        <v>307</v>
      </c>
      <c r="C50" s="68" t="s">
        <v>66</v>
      </c>
      <c r="D50" s="69">
        <v>1</v>
      </c>
      <c r="E50" s="70">
        <v>34512</v>
      </c>
      <c r="F50" s="70">
        <v>34512</v>
      </c>
      <c r="G50" s="71"/>
    </row>
    <row r="51" spans="1:7" ht="12.75" customHeight="1" x14ac:dyDescent="0.25">
      <c r="A51" s="66" t="s">
        <v>211</v>
      </c>
      <c r="B51" s="67" t="s">
        <v>308</v>
      </c>
      <c r="C51" s="68" t="s">
        <v>66</v>
      </c>
      <c r="D51" s="69">
        <v>1</v>
      </c>
      <c r="E51" s="70">
        <v>14000</v>
      </c>
      <c r="F51" s="70">
        <v>14000</v>
      </c>
      <c r="G51" s="71" t="s">
        <v>309</v>
      </c>
    </row>
    <row r="52" spans="1:7" ht="12.75" customHeight="1" x14ac:dyDescent="0.25">
      <c r="A52" s="66" t="s">
        <v>310</v>
      </c>
      <c r="B52" s="67" t="s">
        <v>311</v>
      </c>
      <c r="C52" s="68" t="s">
        <v>66</v>
      </c>
      <c r="D52" s="69">
        <v>1</v>
      </c>
      <c r="E52" s="70">
        <v>816466</v>
      </c>
      <c r="F52" s="70">
        <v>816466</v>
      </c>
      <c r="G52" s="71"/>
    </row>
    <row r="53" spans="1:7" ht="12.75" customHeight="1" x14ac:dyDescent="0.25">
      <c r="A53" s="66" t="s">
        <v>312</v>
      </c>
      <c r="B53" s="67" t="s">
        <v>313</v>
      </c>
      <c r="C53" s="68" t="s">
        <v>66</v>
      </c>
      <c r="D53" s="69">
        <v>1</v>
      </c>
      <c r="E53" s="70">
        <v>35003</v>
      </c>
      <c r="F53" s="70">
        <v>35003</v>
      </c>
      <c r="G53" s="71"/>
    </row>
    <row r="54" spans="1:7" ht="12.75" customHeight="1" x14ac:dyDescent="0.25">
      <c r="A54" s="66" t="s">
        <v>314</v>
      </c>
      <c r="B54" s="67" t="s">
        <v>315</v>
      </c>
      <c r="C54" s="68" t="s">
        <v>66</v>
      </c>
      <c r="D54" s="69">
        <v>1</v>
      </c>
      <c r="E54" s="70">
        <v>625952</v>
      </c>
      <c r="F54" s="70">
        <v>625952</v>
      </c>
      <c r="G54" s="71"/>
    </row>
  </sheetData>
  <mergeCells count="7">
    <mergeCell ref="B6:D6"/>
    <mergeCell ref="F6:G6"/>
    <mergeCell ref="B7:D7"/>
    <mergeCell ref="F7:G7"/>
    <mergeCell ref="A1:G1"/>
    <mergeCell ref="A2:G2"/>
    <mergeCell ref="F3:G3"/>
  </mergeCells>
  <phoneticPr fontId="6" type="noConversion"/>
  <pageMargins left="0.39370078740157477" right="0" top="0.59055118110236215" bottom="1.1023622047244093" header="1.4566929133858268" footer="0.59055118110236215"/>
  <pageSetup paperSize="9" scale="95" orientation="portrait" horizontalDpi="1200" verticalDpi="1200" r:id="rId1"/>
  <headerFooter alignWithMargins="0">
    <oddHeader>&amp;R&amp;"標楷體,標準"&amp;9 第 &amp;P 頁 共 &amp;N 頁</oddHeader>
    <oddFooter>&amp;L&amp;"標楷體,標準"&amp;9 投標廠商：　　　　　　　[印]　　　　　　　　　　負責人：　　　　　[印]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679"/>
  <sheetViews>
    <sheetView workbookViewId="0">
      <selection activeCell="I23" sqref="I23"/>
    </sheetView>
  </sheetViews>
  <sheetFormatPr defaultRowHeight="16.5" x14ac:dyDescent="0.25"/>
  <cols>
    <col min="1" max="1" width="13.875" style="32" bestFit="1" customWidth="1"/>
    <col min="2" max="2" width="15.625" style="32" bestFit="1" customWidth="1"/>
    <col min="3" max="3" width="14.625" style="32" bestFit="1" customWidth="1"/>
    <col min="4" max="4" width="14" style="32" customWidth="1"/>
    <col min="7" max="7" width="15" bestFit="1" customWidth="1"/>
    <col min="8" max="8" width="11.625" bestFit="1" customWidth="1"/>
    <col min="9" max="9" width="15" customWidth="1"/>
    <col min="10" max="10" width="14.875" customWidth="1"/>
    <col min="13" max="13" width="23.375" customWidth="1"/>
  </cols>
  <sheetData>
    <row r="1" spans="1:13" x14ac:dyDescent="0.25">
      <c r="A1" s="27">
        <v>45446</v>
      </c>
      <c r="B1" s="28">
        <v>45446</v>
      </c>
      <c r="C1" s="29">
        <v>1</v>
      </c>
      <c r="D1" s="29">
        <f>$H$1-C1</f>
        <v>89</v>
      </c>
      <c r="F1" s="30" t="s">
        <v>72</v>
      </c>
      <c r="G1" s="34">
        <v>45446</v>
      </c>
      <c r="H1" s="35">
        <v>90</v>
      </c>
      <c r="I1" s="112" t="s">
        <v>73</v>
      </c>
      <c r="J1" s="113" t="s">
        <v>74</v>
      </c>
      <c r="K1" s="37">
        <v>8.5555555555555547E-4</v>
      </c>
      <c r="L1" s="38">
        <v>8.5555555555555547E-4</v>
      </c>
      <c r="M1" s="39" t="s">
        <v>75</v>
      </c>
    </row>
    <row r="2" spans="1:13" x14ac:dyDescent="0.25">
      <c r="A2" s="27">
        <v>45447</v>
      </c>
      <c r="B2" s="28">
        <v>45447</v>
      </c>
      <c r="C2" s="29">
        <f>C1+1</f>
        <v>2</v>
      </c>
      <c r="D2" s="29">
        <f t="shared" ref="D2:D65" si="0">$H$1-C2</f>
        <v>88</v>
      </c>
      <c r="I2" s="28">
        <v>45658</v>
      </c>
      <c r="J2" s="28">
        <v>45696</v>
      </c>
      <c r="K2" s="37">
        <v>8.5555555555555547E-4</v>
      </c>
      <c r="L2" s="38">
        <v>8.5555555555555547E-4</v>
      </c>
      <c r="M2" s="28">
        <v>45099</v>
      </c>
    </row>
    <row r="3" spans="1:13" x14ac:dyDescent="0.25">
      <c r="A3" s="27">
        <v>45448</v>
      </c>
      <c r="B3" s="28">
        <v>45448</v>
      </c>
      <c r="C3" s="29">
        <f>C2+1</f>
        <v>3</v>
      </c>
      <c r="D3" s="29">
        <f t="shared" si="0"/>
        <v>87</v>
      </c>
      <c r="I3" s="28">
        <v>45684</v>
      </c>
      <c r="J3" s="28"/>
      <c r="K3" s="37">
        <v>8.5555555555555547E-4</v>
      </c>
      <c r="L3" s="38">
        <v>8.5555555555555547E-4</v>
      </c>
      <c r="M3" s="28">
        <v>45198</v>
      </c>
    </row>
    <row r="4" spans="1:13" x14ac:dyDescent="0.25">
      <c r="A4" s="27">
        <v>45449</v>
      </c>
      <c r="B4" s="28">
        <v>45449</v>
      </c>
      <c r="C4" s="29">
        <f>C3+1</f>
        <v>4</v>
      </c>
      <c r="D4" s="29">
        <f t="shared" si="0"/>
        <v>86</v>
      </c>
      <c r="I4" s="28">
        <v>45685</v>
      </c>
      <c r="J4" s="28"/>
      <c r="K4" s="37">
        <v>8.5555555555555547E-4</v>
      </c>
      <c r="L4" s="38">
        <v>8.5555555555555547E-4</v>
      </c>
      <c r="M4" s="28">
        <v>45209</v>
      </c>
    </row>
    <row r="5" spans="1:13" x14ac:dyDescent="0.25">
      <c r="A5" s="27">
        <v>45450</v>
      </c>
      <c r="B5" s="28">
        <v>45450</v>
      </c>
      <c r="C5" s="29">
        <f>C4+1</f>
        <v>5</v>
      </c>
      <c r="D5" s="29">
        <f t="shared" si="0"/>
        <v>85</v>
      </c>
      <c r="I5" s="28">
        <v>45686</v>
      </c>
      <c r="K5" s="37">
        <v>8.5555555555555547E-4</v>
      </c>
      <c r="L5" s="38">
        <v>8.5555555555555547E-4</v>
      </c>
      <c r="M5" s="28">
        <v>45292</v>
      </c>
    </row>
    <row r="6" spans="1:13" x14ac:dyDescent="0.25">
      <c r="A6" s="33">
        <v>45451</v>
      </c>
      <c r="B6" s="28">
        <v>45451</v>
      </c>
      <c r="C6" s="31">
        <f>C5</f>
        <v>5</v>
      </c>
      <c r="D6" s="29">
        <f t="shared" si="0"/>
        <v>85</v>
      </c>
      <c r="I6" s="28">
        <v>45687</v>
      </c>
      <c r="K6" s="37">
        <v>8.5555555555555547E-4</v>
      </c>
      <c r="L6" s="38">
        <v>8.5555555555555547E-4</v>
      </c>
      <c r="M6" s="28">
        <v>45331</v>
      </c>
    </row>
    <row r="7" spans="1:13" x14ac:dyDescent="0.25">
      <c r="A7" s="33">
        <v>45452</v>
      </c>
      <c r="B7" s="28">
        <v>45452</v>
      </c>
      <c r="C7" s="31">
        <f>C6</f>
        <v>5</v>
      </c>
      <c r="D7" s="29">
        <f t="shared" si="0"/>
        <v>85</v>
      </c>
      <c r="I7" s="28">
        <v>45688</v>
      </c>
      <c r="K7" s="37">
        <v>8.5555555555555547E-4</v>
      </c>
      <c r="L7" s="38">
        <v>8.5555555555555547E-4</v>
      </c>
      <c r="M7" s="28">
        <v>45332</v>
      </c>
    </row>
    <row r="8" spans="1:13" x14ac:dyDescent="0.25">
      <c r="A8" s="33">
        <v>45453</v>
      </c>
      <c r="B8" s="28">
        <v>45453</v>
      </c>
      <c r="C8" s="31">
        <f>C7</f>
        <v>5</v>
      </c>
      <c r="D8" s="29">
        <f t="shared" si="0"/>
        <v>85</v>
      </c>
      <c r="I8" s="28">
        <v>45716</v>
      </c>
      <c r="K8" s="37">
        <v>8.5555555555555547E-4</v>
      </c>
      <c r="L8" s="38">
        <v>8.5555555555555547E-4</v>
      </c>
      <c r="M8" s="28">
        <v>45333</v>
      </c>
    </row>
    <row r="9" spans="1:13" x14ac:dyDescent="0.25">
      <c r="A9" s="27">
        <v>45454</v>
      </c>
      <c r="B9" s="28">
        <v>45454</v>
      </c>
      <c r="C9" s="29">
        <f>C8+1</f>
        <v>6</v>
      </c>
      <c r="D9" s="29">
        <f t="shared" si="0"/>
        <v>84</v>
      </c>
      <c r="I9" s="28">
        <v>45750</v>
      </c>
      <c r="K9" s="37">
        <v>8.5555555555555547E-4</v>
      </c>
      <c r="L9" s="38">
        <v>8.5555555555555547E-4</v>
      </c>
      <c r="M9" s="28">
        <v>45334</v>
      </c>
    </row>
    <row r="10" spans="1:13" x14ac:dyDescent="0.25">
      <c r="A10" s="27">
        <v>45455</v>
      </c>
      <c r="B10" s="28">
        <v>45455</v>
      </c>
      <c r="C10" s="29">
        <f>C9+1</f>
        <v>7</v>
      </c>
      <c r="D10" s="29">
        <f t="shared" si="0"/>
        <v>83</v>
      </c>
      <c r="I10" s="28">
        <v>45751</v>
      </c>
      <c r="K10" s="37">
        <v>8.5555555555555547E-4</v>
      </c>
      <c r="L10" s="38">
        <v>8.5555555555555547E-4</v>
      </c>
      <c r="M10" s="28">
        <v>45335</v>
      </c>
    </row>
    <row r="11" spans="1:13" x14ac:dyDescent="0.25">
      <c r="A11" s="27">
        <v>45456</v>
      </c>
      <c r="B11" s="28">
        <v>45456</v>
      </c>
      <c r="C11" s="29">
        <f>C10+1</f>
        <v>8</v>
      </c>
      <c r="D11" s="29">
        <f t="shared" si="0"/>
        <v>82</v>
      </c>
      <c r="I11" s="28">
        <v>45778</v>
      </c>
      <c r="K11" s="37">
        <v>8.5555555555555547E-4</v>
      </c>
      <c r="L11" s="38">
        <v>8.5555555555555547E-4</v>
      </c>
      <c r="M11" s="28">
        <v>45336</v>
      </c>
    </row>
    <row r="12" spans="1:13" x14ac:dyDescent="0.25">
      <c r="A12" s="27">
        <v>45457</v>
      </c>
      <c r="B12" s="28">
        <v>45457</v>
      </c>
      <c r="C12" s="29">
        <f>C11+1</f>
        <v>9</v>
      </c>
      <c r="D12" s="29">
        <f t="shared" si="0"/>
        <v>81</v>
      </c>
      <c r="I12" s="28">
        <v>45807</v>
      </c>
      <c r="K12" s="37">
        <v>8.5555555555555547E-4</v>
      </c>
      <c r="L12" s="38">
        <v>8.5555555555555547E-4</v>
      </c>
      <c r="M12" s="28">
        <v>45350</v>
      </c>
    </row>
    <row r="13" spans="1:13" x14ac:dyDescent="0.25">
      <c r="A13" s="33">
        <v>45458</v>
      </c>
      <c r="B13" s="28">
        <v>45458</v>
      </c>
      <c r="C13" s="31">
        <f>C12</f>
        <v>9</v>
      </c>
      <c r="D13" s="29">
        <f t="shared" si="0"/>
        <v>81</v>
      </c>
      <c r="I13" s="28">
        <v>45936</v>
      </c>
      <c r="K13" s="37">
        <v>8.5555555555555547E-4</v>
      </c>
      <c r="L13" s="38">
        <v>8.5555555555555547E-4</v>
      </c>
      <c r="M13" s="28">
        <v>45386</v>
      </c>
    </row>
    <row r="14" spans="1:13" x14ac:dyDescent="0.25">
      <c r="A14" s="33">
        <v>45459</v>
      </c>
      <c r="B14" s="28">
        <v>45459</v>
      </c>
      <c r="C14" s="31">
        <f>C13</f>
        <v>9</v>
      </c>
      <c r="D14" s="29">
        <f t="shared" si="0"/>
        <v>81</v>
      </c>
      <c r="I14" s="28">
        <v>45940</v>
      </c>
      <c r="K14" s="37">
        <v>8.5555555555555547E-4</v>
      </c>
      <c r="L14" s="38">
        <v>8.5555555555555547E-4</v>
      </c>
      <c r="M14" s="28">
        <v>45387</v>
      </c>
    </row>
    <row r="15" spans="1:13" x14ac:dyDescent="0.25">
      <c r="A15" s="27">
        <v>45460</v>
      </c>
      <c r="B15" s="28">
        <v>45460</v>
      </c>
      <c r="C15" s="29">
        <f>C14+1</f>
        <v>10</v>
      </c>
      <c r="D15" s="29">
        <f t="shared" si="0"/>
        <v>80</v>
      </c>
      <c r="I15" s="28"/>
      <c r="K15" s="37">
        <v>8.5555555555555547E-4</v>
      </c>
      <c r="L15" s="38">
        <v>8.5555555555555547E-4</v>
      </c>
      <c r="M15" s="28">
        <v>45453</v>
      </c>
    </row>
    <row r="16" spans="1:13" x14ac:dyDescent="0.25">
      <c r="A16" s="27">
        <v>45461</v>
      </c>
      <c r="B16" s="28">
        <v>45461</v>
      </c>
      <c r="C16" s="29">
        <f>C15+1</f>
        <v>11</v>
      </c>
      <c r="D16" s="29">
        <f t="shared" si="0"/>
        <v>79</v>
      </c>
      <c r="I16" s="28"/>
      <c r="K16" s="37">
        <v>8.5555555555555547E-4</v>
      </c>
      <c r="L16" s="38">
        <v>8.5555555555555547E-4</v>
      </c>
    </row>
    <row r="17" spans="1:12" x14ac:dyDescent="0.25">
      <c r="A17" s="27">
        <v>45462</v>
      </c>
      <c r="B17" s="28">
        <v>45462</v>
      </c>
      <c r="C17" s="29">
        <f>C16+1</f>
        <v>12</v>
      </c>
      <c r="D17" s="29">
        <f t="shared" si="0"/>
        <v>78</v>
      </c>
      <c r="I17" s="28"/>
      <c r="K17" s="37">
        <v>8.5555555555555547E-4</v>
      </c>
      <c r="L17" s="38">
        <v>8.5555555555555547E-4</v>
      </c>
    </row>
    <row r="18" spans="1:12" x14ac:dyDescent="0.25">
      <c r="A18" s="27">
        <v>45463</v>
      </c>
      <c r="B18" s="28">
        <v>45463</v>
      </c>
      <c r="C18" s="29">
        <f>C17+1</f>
        <v>13</v>
      </c>
      <c r="D18" s="29">
        <f t="shared" si="0"/>
        <v>77</v>
      </c>
      <c r="I18" s="28"/>
      <c r="K18" s="37">
        <v>8.5555555555555547E-4</v>
      </c>
      <c r="L18" s="38">
        <v>8.5555555555555547E-4</v>
      </c>
    </row>
    <row r="19" spans="1:12" x14ac:dyDescent="0.25">
      <c r="A19" s="27">
        <v>45464</v>
      </c>
      <c r="B19" s="28">
        <v>45464</v>
      </c>
      <c r="C19" s="29">
        <f>C18+1</f>
        <v>14</v>
      </c>
      <c r="D19" s="29">
        <f t="shared" si="0"/>
        <v>76</v>
      </c>
      <c r="I19" s="28"/>
      <c r="K19" s="37">
        <v>8.5555555555555547E-4</v>
      </c>
      <c r="L19" s="38">
        <v>8.5555555555555547E-4</v>
      </c>
    </row>
    <row r="20" spans="1:12" x14ac:dyDescent="0.25">
      <c r="A20" s="33">
        <v>45465</v>
      </c>
      <c r="B20" s="28">
        <v>45465</v>
      </c>
      <c r="C20" s="31">
        <f>C19</f>
        <v>14</v>
      </c>
      <c r="D20" s="29">
        <f t="shared" si="0"/>
        <v>76</v>
      </c>
      <c r="I20" s="28"/>
      <c r="K20" s="37">
        <v>8.5555555555555547E-4</v>
      </c>
      <c r="L20" s="38">
        <v>8.5555555555555547E-4</v>
      </c>
    </row>
    <row r="21" spans="1:12" x14ac:dyDescent="0.25">
      <c r="A21" s="33">
        <v>45466</v>
      </c>
      <c r="B21" s="28">
        <v>45466</v>
      </c>
      <c r="C21" s="31">
        <f>C20</f>
        <v>14</v>
      </c>
      <c r="D21" s="29">
        <f t="shared" si="0"/>
        <v>76</v>
      </c>
      <c r="I21" s="28"/>
      <c r="K21" s="37">
        <v>8.5555555555555547E-4</v>
      </c>
      <c r="L21" s="38">
        <v>8.5555555555555547E-4</v>
      </c>
    </row>
    <row r="22" spans="1:12" x14ac:dyDescent="0.25">
      <c r="A22" s="27">
        <v>45467</v>
      </c>
      <c r="B22" s="28">
        <v>45467</v>
      </c>
      <c r="C22" s="29">
        <f>C21+1</f>
        <v>15</v>
      </c>
      <c r="D22" s="29">
        <f t="shared" si="0"/>
        <v>75</v>
      </c>
      <c r="I22" s="28"/>
      <c r="K22" s="37">
        <v>8.5555555555555547E-4</v>
      </c>
      <c r="L22" s="38">
        <v>8.5555555555555547E-4</v>
      </c>
    </row>
    <row r="23" spans="1:12" x14ac:dyDescent="0.25">
      <c r="A23" s="27">
        <v>45468</v>
      </c>
      <c r="B23" s="28">
        <v>45468</v>
      </c>
      <c r="C23" s="29">
        <f>C22+1</f>
        <v>16</v>
      </c>
      <c r="D23" s="29">
        <f t="shared" si="0"/>
        <v>74</v>
      </c>
      <c r="I23" s="28"/>
      <c r="K23" s="37">
        <v>8.5555555555555547E-4</v>
      </c>
      <c r="L23" s="38">
        <v>8.5555555555555547E-4</v>
      </c>
    </row>
    <row r="24" spans="1:12" x14ac:dyDescent="0.25">
      <c r="A24" s="27">
        <v>45469</v>
      </c>
      <c r="B24" s="28">
        <v>45469</v>
      </c>
      <c r="C24" s="29">
        <f>C23+1</f>
        <v>17</v>
      </c>
      <c r="D24" s="29">
        <f t="shared" si="0"/>
        <v>73</v>
      </c>
      <c r="I24" s="28"/>
      <c r="K24" s="37">
        <v>8.5555555555555547E-4</v>
      </c>
      <c r="L24" s="38">
        <v>8.5555555555555547E-4</v>
      </c>
    </row>
    <row r="25" spans="1:12" x14ac:dyDescent="0.25">
      <c r="A25" s="27">
        <v>45470</v>
      </c>
      <c r="B25" s="28">
        <v>45470</v>
      </c>
      <c r="C25" s="29">
        <f>C24+1</f>
        <v>18</v>
      </c>
      <c r="D25" s="29">
        <f t="shared" si="0"/>
        <v>72</v>
      </c>
      <c r="I25" s="28"/>
      <c r="K25" s="37">
        <v>8.5555555555555547E-4</v>
      </c>
      <c r="L25" s="38">
        <v>8.5555555555555547E-4</v>
      </c>
    </row>
    <row r="26" spans="1:12" x14ac:dyDescent="0.25">
      <c r="A26" s="27">
        <v>45471</v>
      </c>
      <c r="B26" s="28">
        <v>45471</v>
      </c>
      <c r="C26" s="29">
        <f>C25+1</f>
        <v>19</v>
      </c>
      <c r="D26" s="29">
        <f t="shared" si="0"/>
        <v>71</v>
      </c>
      <c r="I26" s="28"/>
      <c r="K26" s="37">
        <v>8.5555555555555547E-4</v>
      </c>
      <c r="L26" s="38">
        <v>8.5555555555555547E-4</v>
      </c>
    </row>
    <row r="27" spans="1:12" x14ac:dyDescent="0.25">
      <c r="A27" s="33">
        <v>45472</v>
      </c>
      <c r="B27" s="28">
        <v>45472</v>
      </c>
      <c r="C27" s="31">
        <f>C26</f>
        <v>19</v>
      </c>
      <c r="D27" s="29">
        <f t="shared" si="0"/>
        <v>71</v>
      </c>
      <c r="I27" s="28"/>
      <c r="K27" s="37">
        <v>8.5555555555555547E-4</v>
      </c>
      <c r="L27" s="38">
        <v>8.5555555555555547E-4</v>
      </c>
    </row>
    <row r="28" spans="1:12" x14ac:dyDescent="0.25">
      <c r="A28" s="33">
        <v>45473</v>
      </c>
      <c r="B28" s="28">
        <v>45473</v>
      </c>
      <c r="C28" s="31">
        <f>C27</f>
        <v>19</v>
      </c>
      <c r="D28" s="29">
        <f t="shared" si="0"/>
        <v>71</v>
      </c>
      <c r="I28" s="28"/>
      <c r="K28" s="37">
        <v>9.1034482758620692E-4</v>
      </c>
      <c r="L28" s="38">
        <v>9.1034482758620692E-4</v>
      </c>
    </row>
    <row r="29" spans="1:12" x14ac:dyDescent="0.25">
      <c r="A29" s="27">
        <v>45474</v>
      </c>
      <c r="B29" s="28">
        <v>45474</v>
      </c>
      <c r="C29" s="29">
        <f>C28+1</f>
        <v>20</v>
      </c>
      <c r="D29" s="29">
        <f t="shared" si="0"/>
        <v>70</v>
      </c>
      <c r="I29" s="28"/>
      <c r="K29" s="37">
        <v>9.1034482758620692E-4</v>
      </c>
      <c r="L29" s="38">
        <v>9.1034482758620692E-4</v>
      </c>
    </row>
    <row r="30" spans="1:12" x14ac:dyDescent="0.25">
      <c r="A30" s="27">
        <v>45475</v>
      </c>
      <c r="B30" s="28">
        <v>45475</v>
      </c>
      <c r="C30" s="29">
        <f>C29+1</f>
        <v>21</v>
      </c>
      <c r="D30" s="29">
        <f t="shared" si="0"/>
        <v>69</v>
      </c>
      <c r="I30" s="28"/>
      <c r="K30" s="37">
        <v>9.1034482758620692E-4</v>
      </c>
      <c r="L30" s="38">
        <v>9.1034482758620692E-4</v>
      </c>
    </row>
    <row r="31" spans="1:12" x14ac:dyDescent="0.25">
      <c r="A31" s="27">
        <v>45476</v>
      </c>
      <c r="B31" s="28">
        <v>45476</v>
      </c>
      <c r="C31" s="29">
        <f>C30+1</f>
        <v>22</v>
      </c>
      <c r="D31" s="29">
        <f t="shared" si="0"/>
        <v>68</v>
      </c>
      <c r="I31" s="28"/>
      <c r="K31" s="37">
        <v>9.1034482758620692E-4</v>
      </c>
      <c r="L31" s="38">
        <v>9.1034482758620692E-4</v>
      </c>
    </row>
    <row r="32" spans="1:12" x14ac:dyDescent="0.25">
      <c r="A32" s="27">
        <v>45477</v>
      </c>
      <c r="B32" s="28">
        <v>45477</v>
      </c>
      <c r="C32" s="29">
        <f>C31+1</f>
        <v>23</v>
      </c>
      <c r="D32" s="29">
        <f t="shared" si="0"/>
        <v>67</v>
      </c>
      <c r="I32" s="28"/>
      <c r="K32" s="37">
        <v>9.1034482758620692E-4</v>
      </c>
      <c r="L32" s="38">
        <v>9.1034482758620692E-4</v>
      </c>
    </row>
    <row r="33" spans="1:12" x14ac:dyDescent="0.25">
      <c r="A33" s="27">
        <v>45478</v>
      </c>
      <c r="B33" s="28">
        <v>45478</v>
      </c>
      <c r="C33" s="29">
        <f>C32+1</f>
        <v>24</v>
      </c>
      <c r="D33" s="29">
        <f t="shared" si="0"/>
        <v>66</v>
      </c>
      <c r="I33" s="28"/>
      <c r="K33" s="37">
        <v>9.1034482758620692E-4</v>
      </c>
      <c r="L33" s="38">
        <v>9.1034482758620692E-4</v>
      </c>
    </row>
    <row r="34" spans="1:12" x14ac:dyDescent="0.25">
      <c r="A34" s="33">
        <v>45479</v>
      </c>
      <c r="B34" s="28">
        <v>45479</v>
      </c>
      <c r="C34" s="31">
        <f>C33</f>
        <v>24</v>
      </c>
      <c r="D34" s="29">
        <f t="shared" si="0"/>
        <v>66</v>
      </c>
      <c r="I34" s="28"/>
      <c r="K34" s="37">
        <v>9.1034482758620692E-4</v>
      </c>
      <c r="L34" s="38">
        <v>9.1034482758620692E-4</v>
      </c>
    </row>
    <row r="35" spans="1:12" x14ac:dyDescent="0.25">
      <c r="A35" s="33">
        <v>45480</v>
      </c>
      <c r="B35" s="28">
        <v>45480</v>
      </c>
      <c r="C35" s="31">
        <f>C34</f>
        <v>24</v>
      </c>
      <c r="D35" s="29">
        <f t="shared" si="0"/>
        <v>66</v>
      </c>
      <c r="I35" s="28"/>
      <c r="K35" s="37">
        <v>9.1034482758620692E-4</v>
      </c>
      <c r="L35" s="38">
        <v>9.1034482758620692E-4</v>
      </c>
    </row>
    <row r="36" spans="1:12" x14ac:dyDescent="0.25">
      <c r="A36" s="27">
        <v>45481</v>
      </c>
      <c r="B36" s="28">
        <v>45481</v>
      </c>
      <c r="C36" s="29">
        <f>C35+1</f>
        <v>25</v>
      </c>
      <c r="D36" s="29">
        <f t="shared" si="0"/>
        <v>65</v>
      </c>
      <c r="I36" s="28"/>
      <c r="K36" s="37">
        <v>9.1034482758620692E-4</v>
      </c>
      <c r="L36" s="38">
        <v>9.1034482758620692E-4</v>
      </c>
    </row>
    <row r="37" spans="1:12" x14ac:dyDescent="0.25">
      <c r="A37" s="27">
        <v>45482</v>
      </c>
      <c r="B37" s="28">
        <v>45482</v>
      </c>
      <c r="C37" s="29">
        <f>C36+1</f>
        <v>26</v>
      </c>
      <c r="D37" s="29">
        <f t="shared" si="0"/>
        <v>64</v>
      </c>
      <c r="I37" s="28"/>
      <c r="K37" s="37">
        <v>9.1034482758620692E-4</v>
      </c>
      <c r="L37" s="38">
        <v>9.1034482758620692E-4</v>
      </c>
    </row>
    <row r="38" spans="1:12" x14ac:dyDescent="0.25">
      <c r="A38" s="27">
        <v>45483</v>
      </c>
      <c r="B38" s="28">
        <v>45483</v>
      </c>
      <c r="C38" s="29">
        <f>C37+1</f>
        <v>27</v>
      </c>
      <c r="D38" s="29">
        <f t="shared" si="0"/>
        <v>63</v>
      </c>
      <c r="I38" s="28"/>
      <c r="K38" s="37">
        <v>9.1034482758620692E-4</v>
      </c>
      <c r="L38" s="38">
        <v>9.1034482758620692E-4</v>
      </c>
    </row>
    <row r="39" spans="1:12" x14ac:dyDescent="0.25">
      <c r="A39" s="27">
        <v>45484</v>
      </c>
      <c r="B39" s="28">
        <v>45484</v>
      </c>
      <c r="C39" s="29">
        <f>C38+1</f>
        <v>28</v>
      </c>
      <c r="D39" s="29">
        <f t="shared" si="0"/>
        <v>62</v>
      </c>
      <c r="I39" s="28"/>
      <c r="K39" s="37">
        <v>9.1034482758620692E-4</v>
      </c>
      <c r="L39" s="38">
        <v>9.1034482758620692E-4</v>
      </c>
    </row>
    <row r="40" spans="1:12" x14ac:dyDescent="0.25">
      <c r="A40" s="27">
        <v>45485</v>
      </c>
      <c r="B40" s="28">
        <v>45485</v>
      </c>
      <c r="C40" s="29">
        <f>C39+1</f>
        <v>29</v>
      </c>
      <c r="D40" s="29">
        <f t="shared" si="0"/>
        <v>61</v>
      </c>
      <c r="I40" s="28"/>
      <c r="K40" s="37">
        <v>9.1034482758620692E-4</v>
      </c>
      <c r="L40" s="38">
        <v>9.1034482758620692E-4</v>
      </c>
    </row>
    <row r="41" spans="1:12" x14ac:dyDescent="0.25">
      <c r="A41" s="33">
        <v>45486</v>
      </c>
      <c r="B41" s="28">
        <v>45486</v>
      </c>
      <c r="C41" s="31">
        <f>C40</f>
        <v>29</v>
      </c>
      <c r="D41" s="29">
        <f t="shared" si="0"/>
        <v>61</v>
      </c>
      <c r="K41" s="37">
        <v>9.1034482758620692E-4</v>
      </c>
      <c r="L41" s="38">
        <v>9.1034482758620692E-4</v>
      </c>
    </row>
    <row r="42" spans="1:12" x14ac:dyDescent="0.25">
      <c r="A42" s="33">
        <v>45487</v>
      </c>
      <c r="B42" s="28">
        <v>45487</v>
      </c>
      <c r="C42" s="31">
        <f>C41</f>
        <v>29</v>
      </c>
      <c r="D42" s="29">
        <f t="shared" si="0"/>
        <v>61</v>
      </c>
      <c r="K42" s="37">
        <v>9.1034482758620692E-4</v>
      </c>
      <c r="L42" s="38">
        <v>9.1034482758620692E-4</v>
      </c>
    </row>
    <row r="43" spans="1:12" x14ac:dyDescent="0.25">
      <c r="A43" s="27">
        <v>45488</v>
      </c>
      <c r="B43" s="28">
        <v>45488</v>
      </c>
      <c r="C43" s="29">
        <f>C42+1</f>
        <v>30</v>
      </c>
      <c r="D43" s="29">
        <f t="shared" si="0"/>
        <v>60</v>
      </c>
      <c r="K43" s="37">
        <v>9.1034482758620692E-4</v>
      </c>
      <c r="L43" s="38">
        <v>9.1034482758620692E-4</v>
      </c>
    </row>
    <row r="44" spans="1:12" x14ac:dyDescent="0.25">
      <c r="A44" s="27">
        <v>45489</v>
      </c>
      <c r="B44" s="28">
        <v>45489</v>
      </c>
      <c r="C44" s="29">
        <f>C43+1</f>
        <v>31</v>
      </c>
      <c r="D44" s="29">
        <f t="shared" si="0"/>
        <v>59</v>
      </c>
      <c r="K44" s="37">
        <v>9.1034482758620692E-4</v>
      </c>
      <c r="L44" s="38">
        <v>9.1034482758620692E-4</v>
      </c>
    </row>
    <row r="45" spans="1:12" x14ac:dyDescent="0.25">
      <c r="A45" s="27">
        <v>45490</v>
      </c>
      <c r="B45" s="28">
        <v>45490</v>
      </c>
      <c r="C45" s="29">
        <f>C44+1</f>
        <v>32</v>
      </c>
      <c r="D45" s="29">
        <f t="shared" si="0"/>
        <v>58</v>
      </c>
      <c r="K45" s="37">
        <v>9.1034482758620692E-4</v>
      </c>
      <c r="L45" s="38">
        <v>9.1034482758620692E-4</v>
      </c>
    </row>
    <row r="46" spans="1:12" x14ac:dyDescent="0.25">
      <c r="A46" s="27">
        <v>45491</v>
      </c>
      <c r="B46" s="28">
        <v>45491</v>
      </c>
      <c r="C46" s="29">
        <f>C45+1</f>
        <v>33</v>
      </c>
      <c r="D46" s="29">
        <f t="shared" si="0"/>
        <v>57</v>
      </c>
      <c r="K46" s="37">
        <v>9.1034482758620692E-4</v>
      </c>
      <c r="L46" s="38">
        <v>9.1034482758620692E-4</v>
      </c>
    </row>
    <row r="47" spans="1:12" x14ac:dyDescent="0.25">
      <c r="A47" s="27">
        <v>45492</v>
      </c>
      <c r="B47" s="28">
        <v>45492</v>
      </c>
      <c r="C47" s="29">
        <f>C46+1</f>
        <v>34</v>
      </c>
      <c r="D47" s="29">
        <f t="shared" si="0"/>
        <v>56</v>
      </c>
      <c r="K47" s="37">
        <v>9.1034482758620692E-4</v>
      </c>
      <c r="L47" s="38">
        <v>9.1034482758620692E-4</v>
      </c>
    </row>
    <row r="48" spans="1:12" x14ac:dyDescent="0.25">
      <c r="A48" s="33">
        <v>45493</v>
      </c>
      <c r="B48" s="28">
        <v>45493</v>
      </c>
      <c r="C48" s="31">
        <f>C47</f>
        <v>34</v>
      </c>
      <c r="D48" s="29">
        <f t="shared" si="0"/>
        <v>56</v>
      </c>
      <c r="K48" s="37">
        <v>9.1034482758620692E-4</v>
      </c>
      <c r="L48" s="38">
        <v>9.1034482758620692E-4</v>
      </c>
    </row>
    <row r="49" spans="1:12" x14ac:dyDescent="0.25">
      <c r="A49" s="33">
        <v>45494</v>
      </c>
      <c r="B49" s="28">
        <v>45494</v>
      </c>
      <c r="C49" s="31">
        <f>C48</f>
        <v>34</v>
      </c>
      <c r="D49" s="29">
        <f t="shared" si="0"/>
        <v>56</v>
      </c>
      <c r="K49" s="37">
        <v>9.1034482758620692E-4</v>
      </c>
      <c r="L49" s="38">
        <v>0</v>
      </c>
    </row>
    <row r="50" spans="1:12" x14ac:dyDescent="0.25">
      <c r="A50" s="27">
        <v>45495</v>
      </c>
      <c r="B50" s="28">
        <v>45495</v>
      </c>
      <c r="C50" s="29">
        <f>C49+1</f>
        <v>35</v>
      </c>
      <c r="D50" s="29">
        <f t="shared" si="0"/>
        <v>55</v>
      </c>
      <c r="K50" s="37">
        <v>9.1034482758620692E-4</v>
      </c>
      <c r="L50" s="38">
        <v>9.1034482758620692E-4</v>
      </c>
    </row>
    <row r="51" spans="1:12" x14ac:dyDescent="0.25">
      <c r="A51" s="27">
        <v>45496</v>
      </c>
      <c r="B51" s="28">
        <v>45496</v>
      </c>
      <c r="C51" s="29">
        <f>C50+1</f>
        <v>36</v>
      </c>
      <c r="D51" s="29">
        <f t="shared" si="0"/>
        <v>54</v>
      </c>
      <c r="K51" s="37">
        <v>9.1034482758620692E-4</v>
      </c>
      <c r="L51" s="38">
        <v>9.1034482758620692E-4</v>
      </c>
    </row>
    <row r="52" spans="1:12" x14ac:dyDescent="0.25">
      <c r="A52" s="27">
        <v>45497</v>
      </c>
      <c r="B52" s="28">
        <v>45497</v>
      </c>
      <c r="C52" s="29">
        <f>C51+1</f>
        <v>37</v>
      </c>
      <c r="D52" s="29">
        <f t="shared" si="0"/>
        <v>53</v>
      </c>
      <c r="K52" s="37">
        <v>9.1034482758620692E-4</v>
      </c>
      <c r="L52" s="38">
        <v>9.1034482758620692E-4</v>
      </c>
    </row>
    <row r="53" spans="1:12" x14ac:dyDescent="0.25">
      <c r="A53" s="27">
        <v>45498</v>
      </c>
      <c r="B53" s="28">
        <v>45498</v>
      </c>
      <c r="C53" s="29">
        <f>C52+1</f>
        <v>38</v>
      </c>
      <c r="D53" s="29">
        <f t="shared" si="0"/>
        <v>52</v>
      </c>
      <c r="K53" s="37">
        <v>9.1034482758620692E-4</v>
      </c>
      <c r="L53" s="38">
        <v>9.1034482758620692E-4</v>
      </c>
    </row>
    <row r="54" spans="1:12" x14ac:dyDescent="0.25">
      <c r="A54" s="27">
        <v>45499</v>
      </c>
      <c r="B54" s="28">
        <v>45499</v>
      </c>
      <c r="C54" s="29">
        <f>C53+1</f>
        <v>39</v>
      </c>
      <c r="D54" s="29">
        <f t="shared" si="0"/>
        <v>51</v>
      </c>
      <c r="K54" s="37">
        <v>9.1034482758620692E-4</v>
      </c>
      <c r="L54" s="38">
        <v>9.1034482758620692E-4</v>
      </c>
    </row>
    <row r="55" spans="1:12" x14ac:dyDescent="0.25">
      <c r="A55" s="33">
        <v>45500</v>
      </c>
      <c r="B55" s="28">
        <v>45500</v>
      </c>
      <c r="C55" s="31">
        <f>C54</f>
        <v>39</v>
      </c>
      <c r="D55" s="29">
        <f t="shared" si="0"/>
        <v>51</v>
      </c>
      <c r="K55" s="37">
        <v>9.1034482758620692E-4</v>
      </c>
      <c r="L55" s="38">
        <v>9.1034482758620692E-4</v>
      </c>
    </row>
    <row r="56" spans="1:12" x14ac:dyDescent="0.25">
      <c r="A56" s="33">
        <v>45501</v>
      </c>
      <c r="B56" s="28">
        <v>45501</v>
      </c>
      <c r="C56" s="31">
        <f>C55</f>
        <v>39</v>
      </c>
      <c r="D56" s="29">
        <f t="shared" si="0"/>
        <v>51</v>
      </c>
      <c r="K56" s="37">
        <v>9.1034482758620692E-4</v>
      </c>
      <c r="L56" s="38">
        <v>9.1034482758620692E-4</v>
      </c>
    </row>
    <row r="57" spans="1:12" x14ac:dyDescent="0.25">
      <c r="A57" s="27">
        <v>45502</v>
      </c>
      <c r="B57" s="28">
        <v>45502</v>
      </c>
      <c r="C57" s="29">
        <f>C56+1</f>
        <v>40</v>
      </c>
      <c r="D57" s="29">
        <f t="shared" si="0"/>
        <v>50</v>
      </c>
      <c r="K57" s="37">
        <v>1.0290322580645162E-3</v>
      </c>
      <c r="L57" s="38">
        <v>9.1034482758620692E-4</v>
      </c>
    </row>
    <row r="58" spans="1:12" x14ac:dyDescent="0.25">
      <c r="A58" s="27">
        <v>45503</v>
      </c>
      <c r="B58" s="28">
        <v>45503</v>
      </c>
      <c r="C58" s="29">
        <f>C57+1</f>
        <v>41</v>
      </c>
      <c r="D58" s="29">
        <f t="shared" si="0"/>
        <v>49</v>
      </c>
      <c r="K58" s="37">
        <v>1.0290322580645162E-3</v>
      </c>
      <c r="L58" s="38">
        <v>1.0290322580645162E-3</v>
      </c>
    </row>
    <row r="59" spans="1:12" x14ac:dyDescent="0.25">
      <c r="A59" s="27">
        <v>45504</v>
      </c>
      <c r="B59" s="28">
        <v>45504</v>
      </c>
      <c r="C59" s="29">
        <f>C58+1</f>
        <v>42</v>
      </c>
      <c r="D59" s="29">
        <f t="shared" si="0"/>
        <v>48</v>
      </c>
      <c r="K59" s="37">
        <v>1.0290322580645162E-3</v>
      </c>
      <c r="L59" s="38">
        <v>1.0290322580645162E-3</v>
      </c>
    </row>
    <row r="60" spans="1:12" x14ac:dyDescent="0.25">
      <c r="A60" s="27">
        <v>45505</v>
      </c>
      <c r="B60" s="28">
        <v>45505</v>
      </c>
      <c r="C60" s="29">
        <f>C59+1</f>
        <v>43</v>
      </c>
      <c r="D60" s="29">
        <f t="shared" si="0"/>
        <v>47</v>
      </c>
      <c r="K60" s="37">
        <v>1.0290322580645162E-3</v>
      </c>
      <c r="L60" s="38">
        <v>1.0290322580645162E-3</v>
      </c>
    </row>
    <row r="61" spans="1:12" x14ac:dyDescent="0.25">
      <c r="A61" s="27">
        <v>45506</v>
      </c>
      <c r="B61" s="28">
        <v>45506</v>
      </c>
      <c r="C61" s="29">
        <f>C60+1</f>
        <v>44</v>
      </c>
      <c r="D61" s="29">
        <f t="shared" si="0"/>
        <v>46</v>
      </c>
      <c r="K61" s="37">
        <v>1.0290322580645162E-3</v>
      </c>
      <c r="L61" s="38">
        <v>1.0290322580645162E-3</v>
      </c>
    </row>
    <row r="62" spans="1:12" x14ac:dyDescent="0.25">
      <c r="A62" s="33">
        <v>45507</v>
      </c>
      <c r="B62" s="28">
        <v>45507</v>
      </c>
      <c r="C62" s="31">
        <f>C61</f>
        <v>44</v>
      </c>
      <c r="D62" s="29">
        <f t="shared" si="0"/>
        <v>46</v>
      </c>
      <c r="K62" s="37">
        <v>1.0290322580645162E-3</v>
      </c>
      <c r="L62" s="38">
        <v>1.0290322580645162E-3</v>
      </c>
    </row>
    <row r="63" spans="1:12" x14ac:dyDescent="0.25">
      <c r="A63" s="33">
        <v>45508</v>
      </c>
      <c r="B63" s="28">
        <v>45508</v>
      </c>
      <c r="C63" s="31">
        <f>C62</f>
        <v>44</v>
      </c>
      <c r="D63" s="29">
        <f t="shared" si="0"/>
        <v>46</v>
      </c>
      <c r="K63" s="37">
        <v>1.0290322580645162E-3</v>
      </c>
      <c r="L63" s="38">
        <v>1.0290322580645162E-3</v>
      </c>
    </row>
    <row r="64" spans="1:12" x14ac:dyDescent="0.25">
      <c r="A64" s="27">
        <v>45509</v>
      </c>
      <c r="B64" s="28">
        <v>45509</v>
      </c>
      <c r="C64" s="29">
        <f>C63+1</f>
        <v>45</v>
      </c>
      <c r="D64" s="29">
        <f t="shared" si="0"/>
        <v>45</v>
      </c>
      <c r="K64" s="37">
        <v>1.0290322580645162E-3</v>
      </c>
      <c r="L64" s="38">
        <v>1.0290322580645162E-3</v>
      </c>
    </row>
    <row r="65" spans="1:12" x14ac:dyDescent="0.25">
      <c r="A65" s="27">
        <v>45510</v>
      </c>
      <c r="B65" s="28">
        <v>45510</v>
      </c>
      <c r="C65" s="29">
        <f>C64+1</f>
        <v>46</v>
      </c>
      <c r="D65" s="29">
        <f t="shared" si="0"/>
        <v>44</v>
      </c>
      <c r="K65" s="37">
        <v>1.0290322580645162E-3</v>
      </c>
      <c r="L65" s="38">
        <v>1.0290322580645162E-3</v>
      </c>
    </row>
    <row r="66" spans="1:12" x14ac:dyDescent="0.25">
      <c r="A66" s="27">
        <v>45511</v>
      </c>
      <c r="B66" s="28">
        <v>45511</v>
      </c>
      <c r="C66" s="29">
        <f>C65+1</f>
        <v>47</v>
      </c>
      <c r="D66" s="29">
        <f t="shared" ref="D66:D129" si="1">$H$1-C66</f>
        <v>43</v>
      </c>
      <c r="K66" s="37">
        <v>1.0290322580645162E-3</v>
      </c>
      <c r="L66" s="38">
        <v>1.0290322580645162E-3</v>
      </c>
    </row>
    <row r="67" spans="1:12" x14ac:dyDescent="0.25">
      <c r="A67" s="27">
        <v>45512</v>
      </c>
      <c r="B67" s="28">
        <v>45512</v>
      </c>
      <c r="C67" s="29">
        <f>C66+1</f>
        <v>48</v>
      </c>
      <c r="D67" s="29">
        <f t="shared" si="1"/>
        <v>42</v>
      </c>
      <c r="K67" s="37">
        <v>1.0290322580645162E-3</v>
      </c>
      <c r="L67" s="38">
        <v>1.0290322580645162E-3</v>
      </c>
    </row>
    <row r="68" spans="1:12" x14ac:dyDescent="0.25">
      <c r="A68" s="27">
        <v>45513</v>
      </c>
      <c r="B68" s="28">
        <v>45513</v>
      </c>
      <c r="C68" s="29">
        <f>C67+1</f>
        <v>49</v>
      </c>
      <c r="D68" s="29">
        <f t="shared" si="1"/>
        <v>41</v>
      </c>
      <c r="K68" s="37">
        <v>1.0290322580645162E-3</v>
      </c>
      <c r="L68" s="38">
        <v>1.0290322580645162E-3</v>
      </c>
    </row>
    <row r="69" spans="1:12" x14ac:dyDescent="0.25">
      <c r="A69" s="33">
        <v>45514</v>
      </c>
      <c r="B69" s="28">
        <v>45514</v>
      </c>
      <c r="C69" s="31">
        <f>C68</f>
        <v>49</v>
      </c>
      <c r="D69" s="29">
        <f t="shared" si="1"/>
        <v>41</v>
      </c>
      <c r="K69" s="37">
        <v>1.0290322580645162E-3</v>
      </c>
      <c r="L69" s="38">
        <v>1.0290322580645162E-3</v>
      </c>
    </row>
    <row r="70" spans="1:12" x14ac:dyDescent="0.25">
      <c r="A70" s="33">
        <v>45515</v>
      </c>
      <c r="B70" s="28">
        <v>45515</v>
      </c>
      <c r="C70" s="31">
        <f>C69</f>
        <v>49</v>
      </c>
      <c r="D70" s="29">
        <f t="shared" si="1"/>
        <v>41</v>
      </c>
      <c r="K70" s="37">
        <v>1.0290322580645162E-3</v>
      </c>
      <c r="L70" s="38">
        <v>1.0290322580645162E-3</v>
      </c>
    </row>
    <row r="71" spans="1:12" x14ac:dyDescent="0.25">
      <c r="A71" s="27">
        <v>45516</v>
      </c>
      <c r="B71" s="28">
        <v>45516</v>
      </c>
      <c r="C71" s="29">
        <f>C70+1</f>
        <v>50</v>
      </c>
      <c r="D71" s="29">
        <f t="shared" si="1"/>
        <v>40</v>
      </c>
      <c r="K71" s="37">
        <v>1.0290322580645162E-3</v>
      </c>
      <c r="L71" s="38">
        <v>1.0290322580645162E-3</v>
      </c>
    </row>
    <row r="72" spans="1:12" x14ac:dyDescent="0.25">
      <c r="A72" s="27">
        <v>45517</v>
      </c>
      <c r="B72" s="28">
        <v>45517</v>
      </c>
      <c r="C72" s="29">
        <f>C71+1</f>
        <v>51</v>
      </c>
      <c r="D72" s="29">
        <f t="shared" si="1"/>
        <v>39</v>
      </c>
      <c r="K72" s="37">
        <v>1.0290322580645162E-3</v>
      </c>
      <c r="L72" s="38">
        <v>1.0290322580645162E-3</v>
      </c>
    </row>
    <row r="73" spans="1:12" x14ac:dyDescent="0.25">
      <c r="A73" s="27">
        <v>45518</v>
      </c>
      <c r="B73" s="28">
        <v>45518</v>
      </c>
      <c r="C73" s="29">
        <f>C72+1</f>
        <v>52</v>
      </c>
      <c r="D73" s="29">
        <f t="shared" si="1"/>
        <v>38</v>
      </c>
      <c r="K73" s="37">
        <v>1.0290322580645162E-3</v>
      </c>
      <c r="L73" s="38">
        <v>1.0290322580645162E-3</v>
      </c>
    </row>
    <row r="74" spans="1:12" x14ac:dyDescent="0.25">
      <c r="A74" s="27">
        <v>45519</v>
      </c>
      <c r="B74" s="28">
        <v>45519</v>
      </c>
      <c r="C74" s="29">
        <f>C73+1</f>
        <v>53</v>
      </c>
      <c r="D74" s="29">
        <f t="shared" si="1"/>
        <v>37</v>
      </c>
      <c r="K74" s="37">
        <v>1.0290322580645162E-3</v>
      </c>
      <c r="L74" s="38">
        <v>1.0290322580645162E-3</v>
      </c>
    </row>
    <row r="75" spans="1:12" x14ac:dyDescent="0.25">
      <c r="A75" s="27">
        <v>45520</v>
      </c>
      <c r="B75" s="28">
        <v>45520</v>
      </c>
      <c r="C75" s="29">
        <f>C74+1</f>
        <v>54</v>
      </c>
      <c r="D75" s="29">
        <f t="shared" si="1"/>
        <v>36</v>
      </c>
      <c r="K75" s="37">
        <v>1.0290322580645162E-3</v>
      </c>
      <c r="L75" s="38">
        <v>1.0290322580645162E-3</v>
      </c>
    </row>
    <row r="76" spans="1:12" x14ac:dyDescent="0.25">
      <c r="A76" s="33">
        <v>45521</v>
      </c>
      <c r="B76" s="28">
        <v>45521</v>
      </c>
      <c r="C76" s="31">
        <f>C75</f>
        <v>54</v>
      </c>
      <c r="D76" s="29">
        <f t="shared" si="1"/>
        <v>36</v>
      </c>
      <c r="K76" s="37">
        <v>1.0290322580645162E-3</v>
      </c>
      <c r="L76" s="38">
        <v>1.0290322580645162E-3</v>
      </c>
    </row>
    <row r="77" spans="1:12" x14ac:dyDescent="0.25">
      <c r="A77" s="33">
        <v>45522</v>
      </c>
      <c r="B77" s="28">
        <v>45522</v>
      </c>
      <c r="C77" s="31">
        <f>C76</f>
        <v>54</v>
      </c>
      <c r="D77" s="29">
        <f t="shared" si="1"/>
        <v>36</v>
      </c>
      <c r="K77" s="37">
        <v>1.0290322580645162E-3</v>
      </c>
      <c r="L77" s="38">
        <v>1.0290322580645162E-3</v>
      </c>
    </row>
    <row r="78" spans="1:12" x14ac:dyDescent="0.25">
      <c r="A78" s="27">
        <v>45523</v>
      </c>
      <c r="B78" s="28">
        <v>45523</v>
      </c>
      <c r="C78" s="29">
        <f>C77+1</f>
        <v>55</v>
      </c>
      <c r="D78" s="29">
        <f t="shared" si="1"/>
        <v>35</v>
      </c>
      <c r="K78" s="37">
        <v>1.0290322580645162E-3</v>
      </c>
      <c r="L78" s="38">
        <v>1.0290322580645162E-3</v>
      </c>
    </row>
    <row r="79" spans="1:12" x14ac:dyDescent="0.25">
      <c r="A79" s="27">
        <v>45524</v>
      </c>
      <c r="B79" s="28">
        <v>45524</v>
      </c>
      <c r="C79" s="29">
        <f>C78+1</f>
        <v>56</v>
      </c>
      <c r="D79" s="29">
        <f t="shared" si="1"/>
        <v>34</v>
      </c>
      <c r="K79" s="37">
        <v>1.0290322580645162E-3</v>
      </c>
      <c r="L79" s="38">
        <v>1.0290322580645162E-3</v>
      </c>
    </row>
    <row r="80" spans="1:12" x14ac:dyDescent="0.25">
      <c r="A80" s="27">
        <v>45525</v>
      </c>
      <c r="B80" s="28">
        <v>45525</v>
      </c>
      <c r="C80" s="29">
        <f>C79+1</f>
        <v>57</v>
      </c>
      <c r="D80" s="29">
        <f t="shared" si="1"/>
        <v>33</v>
      </c>
      <c r="K80" s="37">
        <v>1.0290322580645162E-3</v>
      </c>
      <c r="L80" s="38">
        <v>1.0290322580645162E-3</v>
      </c>
    </row>
    <row r="81" spans="1:12" x14ac:dyDescent="0.25">
      <c r="A81" s="27">
        <v>45526</v>
      </c>
      <c r="B81" s="28">
        <v>45526</v>
      </c>
      <c r="C81" s="29">
        <f>C80+1</f>
        <v>58</v>
      </c>
      <c r="D81" s="29">
        <f t="shared" si="1"/>
        <v>32</v>
      </c>
      <c r="K81" s="37">
        <v>1.0290322580645162E-3</v>
      </c>
      <c r="L81" s="38">
        <v>1.0290322580645162E-3</v>
      </c>
    </row>
    <row r="82" spans="1:12" x14ac:dyDescent="0.25">
      <c r="A82" s="27">
        <v>45527</v>
      </c>
      <c r="B82" s="28">
        <v>45527</v>
      </c>
      <c r="C82" s="29">
        <f>C81+1</f>
        <v>59</v>
      </c>
      <c r="D82" s="29">
        <f t="shared" si="1"/>
        <v>31</v>
      </c>
      <c r="K82" s="37">
        <v>1.0290322580645162E-3</v>
      </c>
      <c r="L82" s="38">
        <v>1.0290322580645162E-3</v>
      </c>
    </row>
    <row r="83" spans="1:12" x14ac:dyDescent="0.25">
      <c r="A83" s="33">
        <v>45528</v>
      </c>
      <c r="B83" s="28">
        <v>45528</v>
      </c>
      <c r="C83" s="31">
        <f>C82</f>
        <v>59</v>
      </c>
      <c r="D83" s="29">
        <f t="shared" si="1"/>
        <v>31</v>
      </c>
      <c r="K83" s="37">
        <v>1.0290322580645162E-3</v>
      </c>
      <c r="L83" s="38">
        <v>1.0290322580645162E-3</v>
      </c>
    </row>
    <row r="84" spans="1:12" x14ac:dyDescent="0.25">
      <c r="A84" s="33">
        <v>45529</v>
      </c>
      <c r="B84" s="28">
        <v>45529</v>
      </c>
      <c r="C84" s="31">
        <f>C83</f>
        <v>59</v>
      </c>
      <c r="D84" s="29">
        <f t="shared" si="1"/>
        <v>31</v>
      </c>
      <c r="K84" s="37">
        <v>1.0290322580645162E-3</v>
      </c>
      <c r="L84" s="38">
        <v>1.0290322580645162E-3</v>
      </c>
    </row>
    <row r="85" spans="1:12" x14ac:dyDescent="0.25">
      <c r="A85" s="27">
        <v>45530</v>
      </c>
      <c r="B85" s="28">
        <v>45530</v>
      </c>
      <c r="C85" s="29">
        <f>C84+1</f>
        <v>60</v>
      </c>
      <c r="D85" s="29">
        <f t="shared" si="1"/>
        <v>30</v>
      </c>
      <c r="K85" s="37">
        <v>1.0290322580645162E-3</v>
      </c>
      <c r="L85" s="38">
        <v>1.0290322580645162E-3</v>
      </c>
    </row>
    <row r="86" spans="1:12" x14ac:dyDescent="0.25">
      <c r="A86" s="27">
        <v>45531</v>
      </c>
      <c r="B86" s="28">
        <v>45531</v>
      </c>
      <c r="C86" s="29">
        <f>C85+1</f>
        <v>61</v>
      </c>
      <c r="D86" s="29">
        <f t="shared" si="1"/>
        <v>29</v>
      </c>
      <c r="K86" s="37">
        <v>1.0290322580645162E-3</v>
      </c>
      <c r="L86" s="38">
        <v>1.0290322580645162E-3</v>
      </c>
    </row>
    <row r="87" spans="1:12" x14ac:dyDescent="0.25">
      <c r="A87" s="27">
        <v>45532</v>
      </c>
      <c r="B87" s="28">
        <v>45532</v>
      </c>
      <c r="C87" s="29">
        <f>C86+1</f>
        <v>62</v>
      </c>
      <c r="D87" s="29">
        <f t="shared" si="1"/>
        <v>28</v>
      </c>
      <c r="K87" s="37">
        <v>1.0290322580645162E-3</v>
      </c>
      <c r="L87" s="38">
        <v>1.0290322580645162E-3</v>
      </c>
    </row>
    <row r="88" spans="1:12" x14ac:dyDescent="0.25">
      <c r="A88" s="27">
        <v>45533</v>
      </c>
      <c r="B88" s="28">
        <v>45533</v>
      </c>
      <c r="C88" s="29">
        <f>C87+1</f>
        <v>63</v>
      </c>
      <c r="D88" s="29">
        <f t="shared" si="1"/>
        <v>27</v>
      </c>
      <c r="K88" s="37">
        <v>1.2193548387096774E-3</v>
      </c>
      <c r="L88" s="38">
        <v>1.0290322580645162E-3</v>
      </c>
    </row>
    <row r="89" spans="1:12" x14ac:dyDescent="0.25">
      <c r="A89" s="27">
        <v>45534</v>
      </c>
      <c r="B89" s="28">
        <v>45534</v>
      </c>
      <c r="C89" s="29">
        <f>C88+1</f>
        <v>64</v>
      </c>
      <c r="D89" s="29">
        <f t="shared" si="1"/>
        <v>26</v>
      </c>
      <c r="K89" s="37">
        <v>1.2193548387096774E-3</v>
      </c>
      <c r="L89" s="38">
        <v>1.2193548387096774E-3</v>
      </c>
    </row>
    <row r="90" spans="1:12" x14ac:dyDescent="0.25">
      <c r="A90" s="33">
        <v>45535</v>
      </c>
      <c r="B90" s="28">
        <v>45535</v>
      </c>
      <c r="C90" s="31">
        <f>C89</f>
        <v>64</v>
      </c>
      <c r="D90" s="29">
        <f t="shared" si="1"/>
        <v>26</v>
      </c>
      <c r="K90" s="37">
        <v>1.2193548387096774E-3</v>
      </c>
      <c r="L90" s="38">
        <v>1.2193548387096774E-3</v>
      </c>
    </row>
    <row r="91" spans="1:12" x14ac:dyDescent="0.25">
      <c r="A91" s="33">
        <v>45536</v>
      </c>
      <c r="B91" s="28">
        <v>45536</v>
      </c>
      <c r="C91" s="31">
        <f>C90</f>
        <v>64</v>
      </c>
      <c r="D91" s="29">
        <f t="shared" si="1"/>
        <v>26</v>
      </c>
      <c r="K91" s="37">
        <v>1.2193548387096774E-3</v>
      </c>
      <c r="L91" s="38">
        <v>1.2193548387096774E-3</v>
      </c>
    </row>
    <row r="92" spans="1:12" x14ac:dyDescent="0.25">
      <c r="A92" s="27">
        <v>45537</v>
      </c>
      <c r="B92" s="28">
        <v>45537</v>
      </c>
      <c r="C92" s="29">
        <f>C91+1</f>
        <v>65</v>
      </c>
      <c r="D92" s="29">
        <f t="shared" si="1"/>
        <v>25</v>
      </c>
      <c r="K92" s="37">
        <v>1.2193548387096774E-3</v>
      </c>
      <c r="L92" s="38">
        <v>1.2193548387096774E-3</v>
      </c>
    </row>
    <row r="93" spans="1:12" x14ac:dyDescent="0.25">
      <c r="A93" s="27">
        <v>45538</v>
      </c>
      <c r="B93" s="28">
        <v>45538</v>
      </c>
      <c r="C93" s="29">
        <f>C92+1</f>
        <v>66</v>
      </c>
      <c r="D93" s="29">
        <f t="shared" si="1"/>
        <v>24</v>
      </c>
      <c r="K93" s="37">
        <v>1.2193548387096774E-3</v>
      </c>
      <c r="L93" s="38">
        <v>1.2193548387096774E-3</v>
      </c>
    </row>
    <row r="94" spans="1:12" x14ac:dyDescent="0.25">
      <c r="A94" s="27">
        <v>45539</v>
      </c>
      <c r="B94" s="28">
        <v>45539</v>
      </c>
      <c r="C94" s="29">
        <f>C93+1</f>
        <v>67</v>
      </c>
      <c r="D94" s="29">
        <f t="shared" si="1"/>
        <v>23</v>
      </c>
      <c r="K94" s="37">
        <v>1.2193548387096774E-3</v>
      </c>
      <c r="L94" s="38">
        <v>1.2193548387096774E-3</v>
      </c>
    </row>
    <row r="95" spans="1:12" x14ac:dyDescent="0.25">
      <c r="A95" s="27">
        <v>45540</v>
      </c>
      <c r="B95" s="28">
        <v>45540</v>
      </c>
      <c r="C95" s="29">
        <f>C94+1</f>
        <v>68</v>
      </c>
      <c r="D95" s="29">
        <f t="shared" si="1"/>
        <v>22</v>
      </c>
      <c r="K95" s="37">
        <v>1.2193548387096774E-3</v>
      </c>
      <c r="L95" s="38">
        <v>1.2193548387096774E-3</v>
      </c>
    </row>
    <row r="96" spans="1:12" x14ac:dyDescent="0.25">
      <c r="A96" s="27">
        <v>45541</v>
      </c>
      <c r="B96" s="28">
        <v>45541</v>
      </c>
      <c r="C96" s="29">
        <f>C95+1</f>
        <v>69</v>
      </c>
      <c r="D96" s="29">
        <f t="shared" si="1"/>
        <v>21</v>
      </c>
      <c r="K96" s="37">
        <v>1.2193548387096774E-3</v>
      </c>
      <c r="L96" s="38">
        <v>1.2193548387096774E-3</v>
      </c>
    </row>
    <row r="97" spans="1:12" x14ac:dyDescent="0.25">
      <c r="A97" s="33">
        <v>45542</v>
      </c>
      <c r="B97" s="28">
        <v>45542</v>
      </c>
      <c r="C97" s="31">
        <f>C96</f>
        <v>69</v>
      </c>
      <c r="D97" s="29">
        <f t="shared" si="1"/>
        <v>21</v>
      </c>
      <c r="K97" s="37">
        <v>1.2193548387096774E-3</v>
      </c>
      <c r="L97" s="38">
        <v>1.2193548387096774E-3</v>
      </c>
    </row>
    <row r="98" spans="1:12" x14ac:dyDescent="0.25">
      <c r="A98" s="33">
        <v>45543</v>
      </c>
      <c r="B98" s="28">
        <v>45543</v>
      </c>
      <c r="C98" s="31">
        <f>C97</f>
        <v>69</v>
      </c>
      <c r="D98" s="29">
        <f t="shared" si="1"/>
        <v>21</v>
      </c>
      <c r="K98" s="37">
        <v>1.2193548387096774E-3</v>
      </c>
      <c r="L98" s="38">
        <v>1.2193548387096774E-3</v>
      </c>
    </row>
    <row r="99" spans="1:12" x14ac:dyDescent="0.25">
      <c r="A99" s="27">
        <v>45544</v>
      </c>
      <c r="B99" s="28">
        <v>45544</v>
      </c>
      <c r="C99" s="29">
        <f>C98+1</f>
        <v>70</v>
      </c>
      <c r="D99" s="29">
        <f t="shared" si="1"/>
        <v>20</v>
      </c>
      <c r="K99" s="37">
        <v>1.2193548387096774E-3</v>
      </c>
      <c r="L99" s="38">
        <v>1.2193548387096774E-3</v>
      </c>
    </row>
    <row r="100" spans="1:12" x14ac:dyDescent="0.25">
      <c r="A100" s="27">
        <v>45545</v>
      </c>
      <c r="B100" s="28">
        <v>45545</v>
      </c>
      <c r="C100" s="29">
        <f>C99+1</f>
        <v>71</v>
      </c>
      <c r="D100" s="29">
        <f t="shared" si="1"/>
        <v>19</v>
      </c>
      <c r="K100" s="37">
        <v>1.2193548387096774E-3</v>
      </c>
      <c r="L100" s="38">
        <v>1.2193548387096774E-3</v>
      </c>
    </row>
    <row r="101" spans="1:12" x14ac:dyDescent="0.25">
      <c r="A101" s="27">
        <v>45546</v>
      </c>
      <c r="B101" s="28">
        <v>45546</v>
      </c>
      <c r="C101" s="29">
        <f>C100+1</f>
        <v>72</v>
      </c>
      <c r="D101" s="29">
        <f t="shared" si="1"/>
        <v>18</v>
      </c>
      <c r="K101" s="37">
        <v>1.2193548387096774E-3</v>
      </c>
      <c r="L101" s="38">
        <v>1.2193548387096774E-3</v>
      </c>
    </row>
    <row r="102" spans="1:12" x14ac:dyDescent="0.25">
      <c r="A102" s="27">
        <v>45547</v>
      </c>
      <c r="B102" s="28">
        <v>45547</v>
      </c>
      <c r="C102" s="29">
        <f>C101+1</f>
        <v>73</v>
      </c>
      <c r="D102" s="29">
        <f t="shared" si="1"/>
        <v>17</v>
      </c>
      <c r="K102" s="37">
        <v>1.2193548387096774E-3</v>
      </c>
      <c r="L102" s="38">
        <v>1.2193548387096774E-3</v>
      </c>
    </row>
    <row r="103" spans="1:12" x14ac:dyDescent="0.25">
      <c r="A103" s="27">
        <v>45548</v>
      </c>
      <c r="B103" s="28">
        <v>45548</v>
      </c>
      <c r="C103" s="29">
        <f>C102+1</f>
        <v>74</v>
      </c>
      <c r="D103" s="29">
        <f t="shared" si="1"/>
        <v>16</v>
      </c>
      <c r="K103" s="37">
        <v>1.2193548387096774E-3</v>
      </c>
      <c r="L103" s="38">
        <v>1.2193548387096774E-3</v>
      </c>
    </row>
    <row r="104" spans="1:12" x14ac:dyDescent="0.25">
      <c r="A104" s="33">
        <v>45549</v>
      </c>
      <c r="B104" s="28">
        <v>45549</v>
      </c>
      <c r="C104" s="31">
        <f>C103</f>
        <v>74</v>
      </c>
      <c r="D104" s="29">
        <f t="shared" si="1"/>
        <v>16</v>
      </c>
      <c r="K104" s="37">
        <v>1.2193548387096774E-3</v>
      </c>
      <c r="L104" s="38">
        <v>1.2193548387096774E-3</v>
      </c>
    </row>
    <row r="105" spans="1:12" x14ac:dyDescent="0.25">
      <c r="A105" s="33">
        <v>45550</v>
      </c>
      <c r="B105" s="28">
        <v>45550</v>
      </c>
      <c r="C105" s="31">
        <f>C104</f>
        <v>74</v>
      </c>
      <c r="D105" s="29">
        <f t="shared" si="1"/>
        <v>16</v>
      </c>
      <c r="K105" s="37">
        <v>1.2193548387096774E-3</v>
      </c>
      <c r="L105" s="38">
        <v>1.2193548387096774E-3</v>
      </c>
    </row>
    <row r="106" spans="1:12" x14ac:dyDescent="0.25">
      <c r="A106" s="27">
        <v>45551</v>
      </c>
      <c r="B106" s="28">
        <v>45551</v>
      </c>
      <c r="C106" s="29">
        <f>C105+1</f>
        <v>75</v>
      </c>
      <c r="D106" s="29">
        <f t="shared" si="1"/>
        <v>15</v>
      </c>
      <c r="K106" s="37">
        <v>1.2193548387096774E-3</v>
      </c>
      <c r="L106" s="38">
        <v>1.2193548387096774E-3</v>
      </c>
    </row>
    <row r="107" spans="1:12" x14ac:dyDescent="0.25">
      <c r="A107" s="33">
        <v>45552</v>
      </c>
      <c r="B107" s="28">
        <v>45552</v>
      </c>
      <c r="C107" s="31">
        <f>C106</f>
        <v>75</v>
      </c>
      <c r="D107" s="29">
        <f t="shared" si="1"/>
        <v>15</v>
      </c>
      <c r="K107" s="37">
        <v>1.2193548387096774E-3</v>
      </c>
      <c r="L107" s="38">
        <v>1.2193548387096774E-3</v>
      </c>
    </row>
    <row r="108" spans="1:12" x14ac:dyDescent="0.25">
      <c r="A108" s="27">
        <v>45553</v>
      </c>
      <c r="B108" s="28">
        <v>45553</v>
      </c>
      <c r="C108" s="29">
        <f>C107+1</f>
        <v>76</v>
      </c>
      <c r="D108" s="29">
        <f t="shared" si="1"/>
        <v>14</v>
      </c>
      <c r="K108" s="37">
        <v>1.2193548387096774E-3</v>
      </c>
      <c r="L108" s="38">
        <v>1.2193548387096774E-3</v>
      </c>
    </row>
    <row r="109" spans="1:12" x14ac:dyDescent="0.25">
      <c r="A109" s="27">
        <v>45554</v>
      </c>
      <c r="B109" s="28">
        <v>45554</v>
      </c>
      <c r="C109" s="29">
        <f>C108+1</f>
        <v>77</v>
      </c>
      <c r="D109" s="29">
        <f t="shared" si="1"/>
        <v>13</v>
      </c>
      <c r="K109" s="37">
        <v>1.2193548387096774E-3</v>
      </c>
      <c r="L109" s="38">
        <v>1.2193548387096774E-3</v>
      </c>
    </row>
    <row r="110" spans="1:12" x14ac:dyDescent="0.25">
      <c r="A110" s="27">
        <v>45555</v>
      </c>
      <c r="B110" s="28">
        <v>45555</v>
      </c>
      <c r="C110" s="29">
        <f>C109+1</f>
        <v>78</v>
      </c>
      <c r="D110" s="29">
        <f t="shared" si="1"/>
        <v>12</v>
      </c>
      <c r="K110" s="37">
        <v>1.2193548387096774E-3</v>
      </c>
      <c r="L110" s="38">
        <v>1.2193548387096774E-3</v>
      </c>
    </row>
    <row r="111" spans="1:12" x14ac:dyDescent="0.25">
      <c r="A111" s="33">
        <v>45556</v>
      </c>
      <c r="B111" s="28">
        <v>45556</v>
      </c>
      <c r="C111" s="31">
        <f>C110</f>
        <v>78</v>
      </c>
      <c r="D111" s="29">
        <f t="shared" si="1"/>
        <v>12</v>
      </c>
      <c r="K111" s="37">
        <v>1.2193548387096774E-3</v>
      </c>
      <c r="L111" s="38">
        <v>1.2193548387096774E-3</v>
      </c>
    </row>
    <row r="112" spans="1:12" x14ac:dyDescent="0.25">
      <c r="A112" s="33">
        <v>45557</v>
      </c>
      <c r="B112" s="28">
        <v>45557</v>
      </c>
      <c r="C112" s="31">
        <f>C111</f>
        <v>78</v>
      </c>
      <c r="D112" s="29">
        <f t="shared" si="1"/>
        <v>12</v>
      </c>
      <c r="K112" s="37">
        <v>1.2193548387096774E-3</v>
      </c>
      <c r="L112" s="38">
        <v>1.2193548387096774E-3</v>
      </c>
    </row>
    <row r="113" spans="1:12" x14ac:dyDescent="0.25">
      <c r="A113" s="27">
        <v>45558</v>
      </c>
      <c r="B113" s="28">
        <v>45558</v>
      </c>
      <c r="C113" s="29">
        <f>C112+1</f>
        <v>79</v>
      </c>
      <c r="D113" s="29">
        <f t="shared" si="1"/>
        <v>11</v>
      </c>
      <c r="K113" s="37">
        <v>1.2193548387096774E-3</v>
      </c>
      <c r="L113" s="38">
        <v>1.2193548387096774E-3</v>
      </c>
    </row>
    <row r="114" spans="1:12" x14ac:dyDescent="0.25">
      <c r="A114" s="27">
        <v>45559</v>
      </c>
      <c r="B114" s="28">
        <v>45559</v>
      </c>
      <c r="C114" s="29">
        <f>C113+1</f>
        <v>80</v>
      </c>
      <c r="D114" s="29">
        <f t="shared" si="1"/>
        <v>10</v>
      </c>
      <c r="K114" s="37">
        <v>1.2193548387096774E-3</v>
      </c>
      <c r="L114" s="38">
        <v>1.2193548387096774E-3</v>
      </c>
    </row>
    <row r="115" spans="1:12" x14ac:dyDescent="0.25">
      <c r="A115" s="27">
        <v>45560</v>
      </c>
      <c r="B115" s="28">
        <v>45560</v>
      </c>
      <c r="C115" s="29">
        <f>C114+1</f>
        <v>81</v>
      </c>
      <c r="D115" s="29">
        <f t="shared" si="1"/>
        <v>9</v>
      </c>
      <c r="K115" s="37">
        <v>1.2193548387096774E-3</v>
      </c>
      <c r="L115" s="38">
        <v>1.2193548387096774E-3</v>
      </c>
    </row>
    <row r="116" spans="1:12" x14ac:dyDescent="0.25">
      <c r="A116" s="27">
        <v>45561</v>
      </c>
      <c r="B116" s="28">
        <v>45561</v>
      </c>
      <c r="C116" s="29">
        <f>C115+1</f>
        <v>82</v>
      </c>
      <c r="D116" s="29">
        <f t="shared" si="1"/>
        <v>8</v>
      </c>
      <c r="K116" s="37">
        <v>1.2193548387096774E-3</v>
      </c>
      <c r="L116" s="38">
        <v>1.2193548387096774E-3</v>
      </c>
    </row>
    <row r="117" spans="1:12" x14ac:dyDescent="0.25">
      <c r="A117" s="27">
        <v>45562</v>
      </c>
      <c r="B117" s="28">
        <v>45562</v>
      </c>
      <c r="C117" s="29">
        <f>C116+1</f>
        <v>83</v>
      </c>
      <c r="D117" s="29">
        <f t="shared" si="1"/>
        <v>7</v>
      </c>
      <c r="K117" s="37">
        <v>1.2193548387096774E-3</v>
      </c>
      <c r="L117" s="38">
        <v>1.2193548387096774E-3</v>
      </c>
    </row>
    <row r="118" spans="1:12" x14ac:dyDescent="0.25">
      <c r="A118" s="33">
        <v>45563</v>
      </c>
      <c r="B118" s="28">
        <v>45563</v>
      </c>
      <c r="C118" s="31">
        <f>C117</f>
        <v>83</v>
      </c>
      <c r="D118" s="29">
        <f t="shared" si="1"/>
        <v>7</v>
      </c>
      <c r="K118" s="37">
        <v>1.2193548387096774E-3</v>
      </c>
      <c r="L118" s="38">
        <v>1.2193548387096774E-3</v>
      </c>
    </row>
    <row r="119" spans="1:12" x14ac:dyDescent="0.25">
      <c r="A119" s="33">
        <v>45564</v>
      </c>
      <c r="B119" s="28">
        <v>45564</v>
      </c>
      <c r="C119" s="31">
        <f>C118</f>
        <v>83</v>
      </c>
      <c r="D119" s="29">
        <f t="shared" si="1"/>
        <v>7</v>
      </c>
      <c r="K119" s="37">
        <v>1.5724137931034483E-3</v>
      </c>
      <c r="L119" s="38">
        <v>1.2193548387096774E-3</v>
      </c>
    </row>
    <row r="120" spans="1:12" x14ac:dyDescent="0.25">
      <c r="A120" s="27">
        <v>45565</v>
      </c>
      <c r="B120" s="28">
        <v>45565</v>
      </c>
      <c r="C120" s="29">
        <f>C119+1</f>
        <v>84</v>
      </c>
      <c r="D120" s="29">
        <f t="shared" si="1"/>
        <v>6</v>
      </c>
      <c r="K120" s="37">
        <v>1.5724137931034483E-3</v>
      </c>
      <c r="L120" s="38">
        <v>1.5724137931034483E-3</v>
      </c>
    </row>
    <row r="121" spans="1:12" x14ac:dyDescent="0.25">
      <c r="A121" s="27">
        <v>45566</v>
      </c>
      <c r="B121" s="28">
        <v>45566</v>
      </c>
      <c r="C121" s="29">
        <f>C120+1</f>
        <v>85</v>
      </c>
      <c r="D121" s="29">
        <f t="shared" si="1"/>
        <v>5</v>
      </c>
      <c r="K121" s="37">
        <v>1.5724137931034483E-3</v>
      </c>
      <c r="L121" s="38">
        <v>1.5724137931034483E-3</v>
      </c>
    </row>
    <row r="122" spans="1:12" x14ac:dyDescent="0.25">
      <c r="A122" s="27">
        <v>45567</v>
      </c>
      <c r="B122" s="28">
        <v>45567</v>
      </c>
      <c r="C122" s="29">
        <f>C121+1</f>
        <v>86</v>
      </c>
      <c r="D122" s="29">
        <f t="shared" si="1"/>
        <v>4</v>
      </c>
      <c r="K122" s="37">
        <v>1.5724137931034483E-3</v>
      </c>
      <c r="L122" s="38">
        <v>1.5724137931034483E-3</v>
      </c>
    </row>
    <row r="123" spans="1:12" x14ac:dyDescent="0.25">
      <c r="A123" s="27">
        <v>45568</v>
      </c>
      <c r="B123" s="28">
        <v>45568</v>
      </c>
      <c r="C123" s="29">
        <f>C122+1</f>
        <v>87</v>
      </c>
      <c r="D123" s="29">
        <f t="shared" si="1"/>
        <v>3</v>
      </c>
      <c r="K123" s="37">
        <v>1.5724137931034483E-3</v>
      </c>
      <c r="L123" s="38">
        <v>1.5724137931034483E-3</v>
      </c>
    </row>
    <row r="124" spans="1:12" x14ac:dyDescent="0.25">
      <c r="A124" s="27">
        <v>45569</v>
      </c>
      <c r="B124" s="28">
        <v>45569</v>
      </c>
      <c r="C124" s="29">
        <f>C123+1</f>
        <v>88</v>
      </c>
      <c r="D124" s="29">
        <f t="shared" si="1"/>
        <v>2</v>
      </c>
      <c r="K124" s="37">
        <v>1.5724137931034483E-3</v>
      </c>
      <c r="L124" s="38">
        <v>1.5724137931034483E-3</v>
      </c>
    </row>
    <row r="125" spans="1:12" x14ac:dyDescent="0.25">
      <c r="A125" s="33">
        <v>45570</v>
      </c>
      <c r="B125" s="28">
        <v>45570</v>
      </c>
      <c r="C125" s="31">
        <f>C124</f>
        <v>88</v>
      </c>
      <c r="D125" s="29">
        <f t="shared" si="1"/>
        <v>2</v>
      </c>
      <c r="K125" s="37">
        <v>1.5724137931034483E-3</v>
      </c>
      <c r="L125" s="38">
        <v>1.5724137931034483E-3</v>
      </c>
    </row>
    <row r="126" spans="1:12" x14ac:dyDescent="0.25">
      <c r="A126" s="33">
        <v>45571</v>
      </c>
      <c r="B126" s="28">
        <v>45571</v>
      </c>
      <c r="C126" s="31">
        <f>C125</f>
        <v>88</v>
      </c>
      <c r="D126" s="29">
        <f t="shared" si="1"/>
        <v>2</v>
      </c>
      <c r="K126" s="37">
        <v>1.5724137931034483E-3</v>
      </c>
      <c r="L126" s="38">
        <v>1.5724137931034483E-3</v>
      </c>
    </row>
    <row r="127" spans="1:12" x14ac:dyDescent="0.25">
      <c r="A127" s="27">
        <v>45572</v>
      </c>
      <c r="B127" s="28">
        <v>45572</v>
      </c>
      <c r="C127" s="29">
        <f>C126+1</f>
        <v>89</v>
      </c>
      <c r="D127" s="29">
        <f t="shared" si="1"/>
        <v>1</v>
      </c>
      <c r="K127" s="37">
        <v>1.5724137931034483E-3</v>
      </c>
      <c r="L127" s="38">
        <v>1.5724137931034483E-3</v>
      </c>
    </row>
    <row r="128" spans="1:12" x14ac:dyDescent="0.25">
      <c r="A128" s="27">
        <v>45573</v>
      </c>
      <c r="B128" s="28">
        <v>45573</v>
      </c>
      <c r="C128" s="29">
        <f>C127+1</f>
        <v>90</v>
      </c>
      <c r="D128" s="29">
        <f t="shared" si="1"/>
        <v>0</v>
      </c>
      <c r="K128" s="37">
        <v>1.5724137931034483E-3</v>
      </c>
      <c r="L128" s="38">
        <v>1.5724137931034483E-3</v>
      </c>
    </row>
    <row r="129" spans="1:12" x14ac:dyDescent="0.25">
      <c r="A129" s="27">
        <v>45574</v>
      </c>
      <c r="B129" s="28">
        <v>45574</v>
      </c>
      <c r="C129" s="29">
        <f>C128+1</f>
        <v>91</v>
      </c>
      <c r="D129" s="29">
        <f t="shared" si="1"/>
        <v>-1</v>
      </c>
      <c r="K129" s="37">
        <v>1.5724137931034483E-3</v>
      </c>
      <c r="L129" s="38">
        <v>1.5724137931034483E-3</v>
      </c>
    </row>
    <row r="130" spans="1:12" x14ac:dyDescent="0.25">
      <c r="A130" s="33">
        <v>45575</v>
      </c>
      <c r="B130" s="28">
        <v>45575</v>
      </c>
      <c r="C130" s="31">
        <f>C129</f>
        <v>91</v>
      </c>
      <c r="D130" s="29">
        <f t="shared" ref="D130:D150" si="2">$H$1-C130</f>
        <v>-1</v>
      </c>
      <c r="K130" s="37">
        <v>1.5724137931034483E-3</v>
      </c>
      <c r="L130" s="38">
        <v>1.5724137931034483E-3</v>
      </c>
    </row>
    <row r="131" spans="1:12" x14ac:dyDescent="0.25">
      <c r="A131" s="27">
        <v>45576</v>
      </c>
      <c r="B131" s="28">
        <v>45576</v>
      </c>
      <c r="C131" s="29">
        <f>C130+1</f>
        <v>92</v>
      </c>
      <c r="D131" s="29">
        <f t="shared" si="2"/>
        <v>-2</v>
      </c>
      <c r="K131" s="37">
        <v>1.5724137931034483E-3</v>
      </c>
      <c r="L131" s="38">
        <v>1.5724137931034483E-3</v>
      </c>
    </row>
    <row r="132" spans="1:12" x14ac:dyDescent="0.25">
      <c r="A132" s="33">
        <v>45577</v>
      </c>
      <c r="B132" s="28">
        <v>45577</v>
      </c>
      <c r="C132" s="31">
        <f>C131</f>
        <v>92</v>
      </c>
      <c r="D132" s="29">
        <f t="shared" si="2"/>
        <v>-2</v>
      </c>
      <c r="K132" s="37">
        <v>1.5724137931034483E-3</v>
      </c>
      <c r="L132" s="38">
        <v>1.5724137931034483E-3</v>
      </c>
    </row>
    <row r="133" spans="1:12" x14ac:dyDescent="0.25">
      <c r="A133" s="33">
        <v>45578</v>
      </c>
      <c r="B133" s="28">
        <v>45578</v>
      </c>
      <c r="C133" s="31">
        <f>C132</f>
        <v>92</v>
      </c>
      <c r="D133" s="29">
        <f t="shared" si="2"/>
        <v>-2</v>
      </c>
      <c r="K133" s="37">
        <v>1.5724137931034483E-3</v>
      </c>
      <c r="L133" s="38">
        <v>1.5724137931034483E-3</v>
      </c>
    </row>
    <row r="134" spans="1:12" x14ac:dyDescent="0.25">
      <c r="A134" s="27">
        <v>45579</v>
      </c>
      <c r="B134" s="28">
        <v>45579</v>
      </c>
      <c r="C134" s="29">
        <f>C133+1</f>
        <v>93</v>
      </c>
      <c r="D134" s="29">
        <f t="shared" si="2"/>
        <v>-3</v>
      </c>
      <c r="K134" s="37">
        <v>1.5724137931034483E-3</v>
      </c>
      <c r="L134" s="38">
        <v>1.5724137931034483E-3</v>
      </c>
    </row>
    <row r="135" spans="1:12" x14ac:dyDescent="0.25">
      <c r="A135" s="27">
        <v>45580</v>
      </c>
      <c r="B135" s="28">
        <v>45580</v>
      </c>
      <c r="C135" s="29">
        <f>C134+1</f>
        <v>94</v>
      </c>
      <c r="D135" s="29">
        <f t="shared" si="2"/>
        <v>-4</v>
      </c>
      <c r="K135" s="37">
        <v>1.5724137931034483E-3</v>
      </c>
      <c r="L135" s="38">
        <v>1.5724137931034483E-3</v>
      </c>
    </row>
    <row r="136" spans="1:12" x14ac:dyDescent="0.25">
      <c r="A136" s="27">
        <v>45581</v>
      </c>
      <c r="B136" s="28">
        <v>45581</v>
      </c>
      <c r="C136" s="29">
        <f>C135+1</f>
        <v>95</v>
      </c>
      <c r="D136" s="29">
        <f t="shared" si="2"/>
        <v>-5</v>
      </c>
      <c r="K136" s="37">
        <v>1.5724137931034483E-3</v>
      </c>
      <c r="L136" s="38">
        <v>1.5724137931034483E-3</v>
      </c>
    </row>
    <row r="137" spans="1:12" x14ac:dyDescent="0.25">
      <c r="A137" s="27">
        <v>45582</v>
      </c>
      <c r="B137" s="28">
        <v>45582</v>
      </c>
      <c r="C137" s="29">
        <f>C136+1</f>
        <v>96</v>
      </c>
      <c r="D137" s="29">
        <f t="shared" si="2"/>
        <v>-6</v>
      </c>
      <c r="K137" s="37">
        <v>1.5724137931034483E-3</v>
      </c>
      <c r="L137" s="38">
        <v>1.5724137931034483E-3</v>
      </c>
    </row>
    <row r="138" spans="1:12" x14ac:dyDescent="0.25">
      <c r="A138" s="27">
        <v>45583</v>
      </c>
      <c r="B138" s="28">
        <v>45583</v>
      </c>
      <c r="C138" s="29">
        <f>C137+1</f>
        <v>97</v>
      </c>
      <c r="D138" s="29">
        <f t="shared" si="2"/>
        <v>-7</v>
      </c>
      <c r="K138" s="37">
        <v>1.5724137931034483E-3</v>
      </c>
      <c r="L138" s="38">
        <v>1.5724137931034483E-3</v>
      </c>
    </row>
    <row r="139" spans="1:12" x14ac:dyDescent="0.25">
      <c r="A139" s="33">
        <v>45584</v>
      </c>
      <c r="B139" s="28">
        <v>45584</v>
      </c>
      <c r="C139" s="31">
        <f>C138</f>
        <v>97</v>
      </c>
      <c r="D139" s="29">
        <f t="shared" si="2"/>
        <v>-7</v>
      </c>
      <c r="K139" s="37">
        <v>1.5724137931034483E-3</v>
      </c>
      <c r="L139" s="38">
        <v>1.5724137931034483E-3</v>
      </c>
    </row>
    <row r="140" spans="1:12" x14ac:dyDescent="0.25">
      <c r="A140" s="33">
        <v>45585</v>
      </c>
      <c r="B140" s="28">
        <v>45585</v>
      </c>
      <c r="C140" s="31">
        <f>C139</f>
        <v>97</v>
      </c>
      <c r="D140" s="29">
        <f t="shared" si="2"/>
        <v>-7</v>
      </c>
      <c r="K140" s="37">
        <v>1.5724137931034483E-3</v>
      </c>
      <c r="L140" s="38">
        <v>1.5724137931034483E-3</v>
      </c>
    </row>
    <row r="141" spans="1:12" x14ac:dyDescent="0.25">
      <c r="A141" s="27">
        <v>45586</v>
      </c>
      <c r="B141" s="28">
        <v>45586</v>
      </c>
      <c r="C141" s="29">
        <f>C140+1</f>
        <v>98</v>
      </c>
      <c r="D141" s="29">
        <f t="shared" si="2"/>
        <v>-8</v>
      </c>
      <c r="K141" s="37">
        <v>1.5724137931034483E-3</v>
      </c>
      <c r="L141" s="38">
        <v>1.5724137931034483E-3</v>
      </c>
    </row>
    <row r="142" spans="1:12" x14ac:dyDescent="0.25">
      <c r="A142" s="27">
        <v>45587</v>
      </c>
      <c r="B142" s="28">
        <v>45587</v>
      </c>
      <c r="C142" s="29">
        <f>C141+1</f>
        <v>99</v>
      </c>
      <c r="D142" s="29">
        <f t="shared" si="2"/>
        <v>-9</v>
      </c>
      <c r="K142" s="37">
        <v>1.5724137931034483E-3</v>
      </c>
      <c r="L142" s="38">
        <v>1.5724137931034483E-3</v>
      </c>
    </row>
    <row r="143" spans="1:12" x14ac:dyDescent="0.25">
      <c r="A143" s="27">
        <v>45588</v>
      </c>
      <c r="B143" s="28">
        <v>45588</v>
      </c>
      <c r="C143" s="29">
        <f>C142+1</f>
        <v>100</v>
      </c>
      <c r="D143" s="29">
        <f t="shared" si="2"/>
        <v>-10</v>
      </c>
      <c r="K143" s="37">
        <v>1.5724137931034483E-3</v>
      </c>
      <c r="L143" s="38">
        <v>1.5724137931034483E-3</v>
      </c>
    </row>
    <row r="144" spans="1:12" x14ac:dyDescent="0.25">
      <c r="A144" s="27">
        <v>45589</v>
      </c>
      <c r="B144" s="28">
        <v>45589</v>
      </c>
      <c r="C144" s="29">
        <f>C143+1</f>
        <v>101</v>
      </c>
      <c r="D144" s="29">
        <f t="shared" si="2"/>
        <v>-11</v>
      </c>
      <c r="K144" s="37">
        <v>1.5724137931034483E-3</v>
      </c>
      <c r="L144" s="38">
        <v>1.5724137931034483E-3</v>
      </c>
    </row>
    <row r="145" spans="1:12" x14ac:dyDescent="0.25">
      <c r="A145" s="27">
        <v>45590</v>
      </c>
      <c r="B145" s="28">
        <v>45590</v>
      </c>
      <c r="C145" s="29">
        <f>C144+1</f>
        <v>102</v>
      </c>
      <c r="D145" s="29">
        <f t="shared" si="2"/>
        <v>-12</v>
      </c>
      <c r="K145" s="37">
        <v>1.5724137931034483E-3</v>
      </c>
      <c r="L145" s="38">
        <v>1.5724137931034483E-3</v>
      </c>
    </row>
    <row r="146" spans="1:12" x14ac:dyDescent="0.25">
      <c r="A146" s="33">
        <v>45591</v>
      </c>
      <c r="B146" s="28">
        <v>45591</v>
      </c>
      <c r="C146" s="31">
        <f>C145</f>
        <v>102</v>
      </c>
      <c r="D146" s="29">
        <f t="shared" si="2"/>
        <v>-12</v>
      </c>
      <c r="K146" s="37">
        <v>1.5724137931034483E-3</v>
      </c>
      <c r="L146" s="38">
        <v>1.5724137931034483E-3</v>
      </c>
    </row>
    <row r="147" spans="1:12" x14ac:dyDescent="0.25">
      <c r="A147" s="33">
        <v>45592</v>
      </c>
      <c r="B147" s="28">
        <v>45592</v>
      </c>
      <c r="C147" s="31">
        <f>C146</f>
        <v>102</v>
      </c>
      <c r="D147" s="29">
        <f t="shared" si="2"/>
        <v>-12</v>
      </c>
      <c r="K147" s="37">
        <v>1.5724137931034483E-3</v>
      </c>
      <c r="L147" s="38">
        <v>1.5724137931034483E-3</v>
      </c>
    </row>
    <row r="148" spans="1:12" x14ac:dyDescent="0.25">
      <c r="A148" s="27">
        <v>45593</v>
      </c>
      <c r="B148" s="28">
        <v>45593</v>
      </c>
      <c r="C148" s="29">
        <f>C147+1</f>
        <v>103</v>
      </c>
      <c r="D148" s="29">
        <f t="shared" si="2"/>
        <v>-13</v>
      </c>
      <c r="K148" s="37">
        <v>2.1666666666666666E-3</v>
      </c>
      <c r="L148" s="38">
        <v>0</v>
      </c>
    </row>
    <row r="149" spans="1:12" x14ac:dyDescent="0.25">
      <c r="A149" s="27">
        <v>45594</v>
      </c>
      <c r="B149" s="28">
        <v>45594</v>
      </c>
      <c r="C149" s="29">
        <f>C148+1</f>
        <v>104</v>
      </c>
      <c r="D149" s="29">
        <f t="shared" si="2"/>
        <v>-14</v>
      </c>
      <c r="K149" s="37">
        <v>2.1666666666666666E-3</v>
      </c>
      <c r="L149" s="38">
        <v>1.5724137931034483E-3</v>
      </c>
    </row>
    <row r="150" spans="1:12" x14ac:dyDescent="0.25">
      <c r="A150" s="27">
        <v>45595</v>
      </c>
      <c r="B150" s="28">
        <v>45595</v>
      </c>
      <c r="C150" s="29">
        <f>C149+1</f>
        <v>105</v>
      </c>
      <c r="D150" s="29">
        <f t="shared" si="2"/>
        <v>-15</v>
      </c>
      <c r="K150" s="37">
        <v>2.1666666666666666E-3</v>
      </c>
      <c r="L150" s="38">
        <v>2.1666666666666666E-3</v>
      </c>
    </row>
    <row r="151" spans="1:12" x14ac:dyDescent="0.25">
      <c r="A151" s="27"/>
      <c r="B151" s="28"/>
      <c r="C151" s="29"/>
      <c r="D151" s="29"/>
      <c r="K151" s="37">
        <v>2.1666666666666666E-3</v>
      </c>
      <c r="L151" s="38">
        <v>2.1666666666666666E-3</v>
      </c>
    </row>
    <row r="152" spans="1:12" x14ac:dyDescent="0.25">
      <c r="A152" s="27"/>
      <c r="B152" s="28"/>
      <c r="C152" s="29"/>
      <c r="D152" s="29"/>
      <c r="K152" s="37">
        <v>2.1666666666666666E-3</v>
      </c>
      <c r="L152" s="38">
        <v>2.1666666666666666E-3</v>
      </c>
    </row>
    <row r="153" spans="1:12" x14ac:dyDescent="0.25">
      <c r="A153" s="27"/>
      <c r="B153" s="28"/>
      <c r="C153" s="29"/>
      <c r="D153" s="29"/>
      <c r="K153" s="37">
        <v>2.1666666666666666E-3</v>
      </c>
      <c r="L153" s="38">
        <v>2.1666666666666666E-3</v>
      </c>
    </row>
    <row r="154" spans="1:12" x14ac:dyDescent="0.25">
      <c r="A154" s="27"/>
      <c r="B154" s="28"/>
      <c r="C154" s="29"/>
      <c r="D154" s="29"/>
      <c r="K154" s="37">
        <v>2.1666666666666666E-3</v>
      </c>
      <c r="L154" s="38">
        <v>2.1666666666666666E-3</v>
      </c>
    </row>
    <row r="155" spans="1:12" x14ac:dyDescent="0.25">
      <c r="A155" s="27"/>
      <c r="B155" s="28"/>
      <c r="C155" s="29"/>
      <c r="D155" s="29"/>
      <c r="K155" s="37">
        <v>2.1666666666666666E-3</v>
      </c>
      <c r="L155" s="38">
        <v>2.1666666666666666E-3</v>
      </c>
    </row>
    <row r="156" spans="1:12" x14ac:dyDescent="0.25">
      <c r="A156" s="27"/>
      <c r="B156" s="28"/>
      <c r="C156" s="29"/>
      <c r="D156" s="29"/>
      <c r="K156" s="37">
        <v>2.1666666666666666E-3</v>
      </c>
      <c r="L156" s="38">
        <v>2.1666666666666666E-3</v>
      </c>
    </row>
    <row r="157" spans="1:12" x14ac:dyDescent="0.25">
      <c r="A157" s="27"/>
      <c r="B157" s="28"/>
      <c r="C157" s="29"/>
      <c r="D157" s="29"/>
      <c r="K157" s="37">
        <v>2.1666666666666666E-3</v>
      </c>
      <c r="L157" s="38">
        <v>2.1666666666666666E-3</v>
      </c>
    </row>
    <row r="158" spans="1:12" x14ac:dyDescent="0.25">
      <c r="A158" s="27"/>
      <c r="B158" s="28"/>
      <c r="C158" s="29"/>
      <c r="D158" s="29"/>
      <c r="K158" s="37">
        <v>2.1666666666666666E-3</v>
      </c>
      <c r="L158" s="38">
        <v>2.1666666666666666E-3</v>
      </c>
    </row>
    <row r="159" spans="1:12" x14ac:dyDescent="0.25">
      <c r="A159" s="27"/>
      <c r="B159" s="28"/>
      <c r="C159" s="29"/>
      <c r="D159" s="29"/>
      <c r="K159" s="37">
        <v>2.1666666666666666E-3</v>
      </c>
      <c r="L159" s="38">
        <v>0</v>
      </c>
    </row>
    <row r="160" spans="1:12" x14ac:dyDescent="0.25">
      <c r="A160" s="27"/>
      <c r="B160" s="28"/>
      <c r="C160" s="29"/>
      <c r="D160" s="29"/>
      <c r="K160" s="37">
        <v>2.1666666666666666E-3</v>
      </c>
      <c r="L160" s="38">
        <v>2.1666666666666666E-3</v>
      </c>
    </row>
    <row r="161" spans="1:12" x14ac:dyDescent="0.25">
      <c r="A161" s="27"/>
      <c r="B161" s="28"/>
      <c r="C161" s="29"/>
      <c r="D161" s="29"/>
      <c r="K161" s="37">
        <v>2.1666666666666666E-3</v>
      </c>
      <c r="L161" s="38">
        <v>2.1666666666666666E-3</v>
      </c>
    </row>
    <row r="162" spans="1:12" x14ac:dyDescent="0.25">
      <c r="A162" s="27"/>
      <c r="B162" s="28"/>
      <c r="C162" s="29"/>
      <c r="D162" s="29"/>
      <c r="K162" s="37">
        <v>2.1666666666666666E-3</v>
      </c>
      <c r="L162" s="38">
        <v>2.1666666666666666E-3</v>
      </c>
    </row>
    <row r="163" spans="1:12" x14ac:dyDescent="0.25">
      <c r="A163" s="27"/>
      <c r="B163" s="28"/>
      <c r="C163" s="29"/>
      <c r="D163" s="29"/>
      <c r="K163" s="37">
        <v>2.1666666666666666E-3</v>
      </c>
      <c r="L163" s="38">
        <v>2.1666666666666666E-3</v>
      </c>
    </row>
    <row r="164" spans="1:12" x14ac:dyDescent="0.25">
      <c r="A164" s="27"/>
      <c r="B164" s="28"/>
      <c r="C164" s="29"/>
      <c r="D164" s="29"/>
      <c r="K164" s="37">
        <v>2.1666666666666666E-3</v>
      </c>
      <c r="L164" s="38">
        <v>2.1666666666666666E-3</v>
      </c>
    </row>
    <row r="165" spans="1:12" x14ac:dyDescent="0.25">
      <c r="A165" s="27"/>
      <c r="B165" s="28"/>
      <c r="C165" s="29"/>
      <c r="D165" s="29"/>
      <c r="K165" s="37">
        <v>2.1666666666666666E-3</v>
      </c>
      <c r="L165" s="38">
        <v>2.1666666666666666E-3</v>
      </c>
    </row>
    <row r="166" spans="1:12" x14ac:dyDescent="0.25">
      <c r="A166" s="27"/>
      <c r="B166" s="28"/>
      <c r="C166" s="29"/>
      <c r="D166" s="29"/>
      <c r="K166" s="37">
        <v>2.1666666666666666E-3</v>
      </c>
      <c r="L166" s="38">
        <v>2.1666666666666666E-3</v>
      </c>
    </row>
    <row r="167" spans="1:12" x14ac:dyDescent="0.25">
      <c r="A167" s="27"/>
      <c r="B167" s="28"/>
      <c r="C167" s="29"/>
      <c r="D167" s="29"/>
      <c r="K167" s="37">
        <v>2.1666666666666666E-3</v>
      </c>
      <c r="L167" s="38">
        <v>2.1666666666666666E-3</v>
      </c>
    </row>
    <row r="168" spans="1:12" x14ac:dyDescent="0.25">
      <c r="A168" s="27"/>
      <c r="B168" s="28"/>
      <c r="C168" s="29"/>
      <c r="D168" s="29"/>
      <c r="K168" s="37">
        <v>2.1666666666666666E-3</v>
      </c>
      <c r="L168" s="38">
        <v>2.1666666666666666E-3</v>
      </c>
    </row>
    <row r="169" spans="1:12" x14ac:dyDescent="0.25">
      <c r="A169" s="27"/>
      <c r="B169" s="28"/>
      <c r="C169" s="29"/>
      <c r="D169" s="29"/>
      <c r="K169" s="37">
        <v>2.1666666666666666E-3</v>
      </c>
      <c r="L169" s="38">
        <v>2.1666666666666666E-3</v>
      </c>
    </row>
    <row r="170" spans="1:12" x14ac:dyDescent="0.25">
      <c r="A170" s="27"/>
      <c r="B170" s="28"/>
      <c r="C170" s="29"/>
      <c r="D170" s="29"/>
      <c r="K170" s="37">
        <v>2.1666666666666666E-3</v>
      </c>
      <c r="L170" s="38">
        <v>2.1666666666666666E-3</v>
      </c>
    </row>
    <row r="171" spans="1:12" x14ac:dyDescent="0.25">
      <c r="A171" s="27"/>
      <c r="B171" s="28"/>
      <c r="C171" s="29"/>
      <c r="D171" s="29"/>
      <c r="K171" s="37">
        <v>2.1666666666666666E-3</v>
      </c>
      <c r="L171" s="38">
        <v>2.1666666666666666E-3</v>
      </c>
    </row>
    <row r="172" spans="1:12" x14ac:dyDescent="0.25">
      <c r="A172" s="27"/>
      <c r="B172" s="28"/>
      <c r="C172" s="29"/>
      <c r="D172" s="29"/>
      <c r="K172" s="37">
        <v>2.1666666666666666E-3</v>
      </c>
      <c r="L172" s="38">
        <v>2.1666666666666666E-3</v>
      </c>
    </row>
    <row r="173" spans="1:12" x14ac:dyDescent="0.25">
      <c r="A173" s="27"/>
      <c r="B173" s="28"/>
      <c r="C173" s="29"/>
      <c r="D173" s="29"/>
      <c r="K173" s="37">
        <v>2.1666666666666666E-3</v>
      </c>
      <c r="L173" s="38">
        <v>2.1666666666666666E-3</v>
      </c>
    </row>
    <row r="174" spans="1:12" x14ac:dyDescent="0.25">
      <c r="A174" s="27"/>
      <c r="B174" s="28"/>
      <c r="C174" s="29"/>
      <c r="D174" s="29"/>
      <c r="K174" s="37">
        <v>2.1666666666666666E-3</v>
      </c>
      <c r="L174" s="38">
        <v>2.1666666666666666E-3</v>
      </c>
    </row>
    <row r="175" spans="1:12" x14ac:dyDescent="0.25">
      <c r="A175" s="27"/>
      <c r="B175" s="28"/>
      <c r="C175" s="29"/>
      <c r="D175" s="29"/>
      <c r="K175" s="37">
        <v>2.1666666666666666E-3</v>
      </c>
      <c r="L175" s="38">
        <v>2.1666666666666666E-3</v>
      </c>
    </row>
    <row r="176" spans="1:12" x14ac:dyDescent="0.25">
      <c r="A176" s="27"/>
      <c r="B176" s="28"/>
      <c r="C176" s="29"/>
      <c r="D176" s="29"/>
      <c r="K176" s="37">
        <v>2.1666666666666666E-3</v>
      </c>
      <c r="L176" s="38">
        <v>2.1666666666666666E-3</v>
      </c>
    </row>
    <row r="177" spans="1:12" x14ac:dyDescent="0.25">
      <c r="A177" s="27"/>
      <c r="B177" s="28"/>
      <c r="C177" s="29"/>
      <c r="D177" s="29"/>
      <c r="K177" s="37">
        <v>2.1666666666666666E-3</v>
      </c>
      <c r="L177" s="38">
        <v>2.1666666666666666E-3</v>
      </c>
    </row>
    <row r="178" spans="1:12" x14ac:dyDescent="0.25">
      <c r="A178" s="27"/>
      <c r="B178" s="28"/>
      <c r="C178" s="29"/>
      <c r="D178" s="29"/>
      <c r="K178" s="37">
        <v>2.1666666666666666E-3</v>
      </c>
      <c r="L178" s="38">
        <v>2.1666666666666666E-3</v>
      </c>
    </row>
    <row r="179" spans="1:12" x14ac:dyDescent="0.25">
      <c r="A179" s="27"/>
      <c r="B179" s="28"/>
      <c r="C179" s="29"/>
      <c r="D179" s="29"/>
      <c r="K179" s="37">
        <v>2.1666666666666666E-3</v>
      </c>
      <c r="L179" s="38">
        <v>2.1666666666666666E-3</v>
      </c>
    </row>
    <row r="180" spans="1:12" x14ac:dyDescent="0.25">
      <c r="A180" s="27"/>
      <c r="B180" s="28"/>
      <c r="C180" s="29"/>
      <c r="D180" s="29"/>
      <c r="K180" s="37">
        <v>2.1666666666666666E-3</v>
      </c>
      <c r="L180" s="38">
        <v>2.1666666666666666E-3</v>
      </c>
    </row>
    <row r="181" spans="1:12" x14ac:dyDescent="0.25">
      <c r="A181" s="27"/>
      <c r="B181" s="28"/>
      <c r="C181" s="29"/>
      <c r="D181" s="29"/>
      <c r="K181" s="37">
        <v>2.1666666666666666E-3</v>
      </c>
      <c r="L181" s="38">
        <v>2.1666666666666666E-3</v>
      </c>
    </row>
    <row r="182" spans="1:12" x14ac:dyDescent="0.25">
      <c r="A182" s="27"/>
      <c r="B182" s="28"/>
      <c r="C182" s="29"/>
      <c r="D182" s="29"/>
      <c r="K182" s="37">
        <v>2.1666666666666666E-3</v>
      </c>
      <c r="L182" s="38">
        <v>2.1666666666666666E-3</v>
      </c>
    </row>
    <row r="183" spans="1:12" x14ac:dyDescent="0.25">
      <c r="A183" s="27"/>
      <c r="B183" s="28"/>
      <c r="C183" s="29"/>
      <c r="D183" s="29"/>
      <c r="K183" s="37">
        <v>2.1666666666666666E-3</v>
      </c>
      <c r="L183" s="38">
        <v>2.1666666666666666E-3</v>
      </c>
    </row>
    <row r="184" spans="1:12" x14ac:dyDescent="0.25">
      <c r="A184" s="27"/>
      <c r="B184" s="28"/>
      <c r="C184" s="29"/>
      <c r="D184" s="29"/>
      <c r="K184" s="37">
        <v>2.1666666666666666E-3</v>
      </c>
      <c r="L184" s="38">
        <v>2.1666666666666666E-3</v>
      </c>
    </row>
    <row r="185" spans="1:12" x14ac:dyDescent="0.25">
      <c r="A185" s="27"/>
      <c r="B185" s="28"/>
      <c r="C185" s="29"/>
      <c r="D185" s="29"/>
      <c r="K185">
        <v>2.1666666666666666E-3</v>
      </c>
      <c r="L185">
        <v>2.1666666666666666E-3</v>
      </c>
    </row>
    <row r="186" spans="1:12" x14ac:dyDescent="0.25">
      <c r="A186" s="27"/>
      <c r="B186" s="28"/>
      <c r="C186" s="29"/>
      <c r="D186" s="29"/>
      <c r="K186">
        <v>2.1666666666666666E-3</v>
      </c>
      <c r="L186">
        <v>2.1666666666666666E-3</v>
      </c>
    </row>
    <row r="187" spans="1:12" x14ac:dyDescent="0.25">
      <c r="A187" s="27"/>
      <c r="B187" s="28"/>
      <c r="C187" s="29"/>
      <c r="D187" s="29"/>
      <c r="K187">
        <v>2.1666666666666666E-3</v>
      </c>
      <c r="L187">
        <v>2.1666666666666666E-3</v>
      </c>
    </row>
    <row r="188" spans="1:12" x14ac:dyDescent="0.25">
      <c r="A188" s="27"/>
      <c r="B188" s="28"/>
      <c r="C188" s="29"/>
      <c r="D188" s="29"/>
      <c r="K188">
        <v>2.1666666666666666E-3</v>
      </c>
      <c r="L188">
        <v>2.1666666666666666E-3</v>
      </c>
    </row>
    <row r="189" spans="1:12" x14ac:dyDescent="0.25">
      <c r="A189" s="27"/>
      <c r="B189" s="28"/>
      <c r="C189" s="29"/>
      <c r="D189" s="29"/>
      <c r="K189">
        <v>2.1666666666666666E-3</v>
      </c>
      <c r="L189">
        <v>2.1666666666666666E-3</v>
      </c>
    </row>
    <row r="190" spans="1:12" x14ac:dyDescent="0.25">
      <c r="A190" s="27"/>
      <c r="B190" s="28"/>
      <c r="C190" s="29"/>
      <c r="D190" s="29"/>
      <c r="K190">
        <v>2.1666666666666666E-3</v>
      </c>
      <c r="L190">
        <v>2.1666666666666666E-3</v>
      </c>
    </row>
    <row r="191" spans="1:12" x14ac:dyDescent="0.25">
      <c r="A191" s="27"/>
      <c r="B191" s="28"/>
      <c r="C191" s="29"/>
      <c r="D191" s="29"/>
      <c r="K191">
        <v>2.1666666666666666E-3</v>
      </c>
      <c r="L191">
        <v>2.1666666666666666E-3</v>
      </c>
    </row>
    <row r="192" spans="1:12" x14ac:dyDescent="0.25">
      <c r="A192" s="27"/>
      <c r="B192" s="28"/>
      <c r="C192" s="29"/>
      <c r="D192" s="29"/>
      <c r="K192">
        <v>2.1666666666666666E-3</v>
      </c>
      <c r="L192">
        <v>2.1666666666666666E-3</v>
      </c>
    </row>
    <row r="193" spans="1:12" x14ac:dyDescent="0.25">
      <c r="A193" s="27"/>
      <c r="B193" s="28"/>
      <c r="C193" s="29"/>
      <c r="D193" s="29"/>
      <c r="K193">
        <v>2.1666666666666666E-3</v>
      </c>
      <c r="L193">
        <v>2.1666666666666666E-3</v>
      </c>
    </row>
    <row r="194" spans="1:12" x14ac:dyDescent="0.25">
      <c r="A194" s="27"/>
      <c r="B194" s="28"/>
      <c r="C194" s="29"/>
      <c r="D194" s="29"/>
      <c r="K194">
        <v>2.1666666666666666E-3</v>
      </c>
      <c r="L194">
        <v>2.1666666666666666E-3</v>
      </c>
    </row>
    <row r="195" spans="1:12" x14ac:dyDescent="0.25">
      <c r="A195" s="27"/>
      <c r="B195" s="28"/>
      <c r="C195" s="29"/>
      <c r="D195" s="29"/>
      <c r="K195">
        <v>2.1666666666666666E-3</v>
      </c>
      <c r="L195">
        <v>2.1666666666666666E-3</v>
      </c>
    </row>
    <row r="196" spans="1:12" x14ac:dyDescent="0.25">
      <c r="A196" s="27"/>
      <c r="B196" s="28"/>
      <c r="C196" s="29"/>
      <c r="D196" s="29"/>
      <c r="K196">
        <v>2.1666666666666666E-3</v>
      </c>
      <c r="L196">
        <v>2.1666666666666666E-3</v>
      </c>
    </row>
    <row r="197" spans="1:12" x14ac:dyDescent="0.25">
      <c r="A197" s="27"/>
      <c r="B197" s="28"/>
      <c r="C197" s="29"/>
      <c r="D197" s="29"/>
      <c r="K197">
        <v>2.1666666666666666E-3</v>
      </c>
      <c r="L197">
        <v>2.1666666666666666E-3</v>
      </c>
    </row>
    <row r="198" spans="1:12" x14ac:dyDescent="0.25">
      <c r="A198" s="27"/>
      <c r="B198" s="28"/>
      <c r="C198" s="29"/>
      <c r="D198" s="29"/>
      <c r="K198">
        <v>2.1666666666666666E-3</v>
      </c>
      <c r="L198">
        <v>2.1666666666666666E-3</v>
      </c>
    </row>
    <row r="199" spans="1:12" x14ac:dyDescent="0.25">
      <c r="A199" s="27"/>
      <c r="B199" s="28"/>
      <c r="C199" s="29"/>
      <c r="D199" s="29"/>
      <c r="K199">
        <v>2.1666666666666666E-3</v>
      </c>
      <c r="L199">
        <v>2.1666666666666666E-3</v>
      </c>
    </row>
    <row r="200" spans="1:12" x14ac:dyDescent="0.25">
      <c r="A200" s="27"/>
      <c r="B200" s="28"/>
      <c r="C200" s="29"/>
      <c r="D200" s="29"/>
      <c r="K200">
        <v>2.1666666666666666E-3</v>
      </c>
      <c r="L200">
        <v>2.1666666666666666E-3</v>
      </c>
    </row>
    <row r="201" spans="1:12" x14ac:dyDescent="0.25">
      <c r="A201" s="27"/>
      <c r="B201" s="28"/>
      <c r="C201" s="29"/>
      <c r="D201" s="29"/>
      <c r="K201">
        <v>2.1666666666666666E-3</v>
      </c>
      <c r="L201">
        <v>2.1666666666666666E-3</v>
      </c>
    </row>
    <row r="202" spans="1:12" x14ac:dyDescent="0.25">
      <c r="A202" s="27"/>
      <c r="B202" s="28"/>
      <c r="C202" s="29"/>
      <c r="D202" s="29"/>
      <c r="K202">
        <v>2.1666666666666666E-3</v>
      </c>
      <c r="L202">
        <v>2.1666666666666666E-3</v>
      </c>
    </row>
    <row r="203" spans="1:12" x14ac:dyDescent="0.25">
      <c r="A203" s="27"/>
      <c r="B203" s="28"/>
      <c r="C203" s="29"/>
      <c r="D203" s="29"/>
      <c r="K203">
        <v>2.1666666666666666E-3</v>
      </c>
      <c r="L203">
        <v>2.1666666666666666E-3</v>
      </c>
    </row>
    <row r="204" spans="1:12" x14ac:dyDescent="0.25">
      <c r="A204" s="27"/>
      <c r="B204" s="28"/>
      <c r="C204" s="29"/>
      <c r="D204" s="29"/>
      <c r="K204">
        <v>2.1666666666666666E-3</v>
      </c>
      <c r="L204">
        <v>2.1666666666666666E-3</v>
      </c>
    </row>
    <row r="205" spans="1:12" x14ac:dyDescent="0.25">
      <c r="A205" s="27"/>
      <c r="B205" s="28"/>
      <c r="C205" s="29"/>
      <c r="D205" s="29"/>
      <c r="K205">
        <v>2.1666666666666666E-3</v>
      </c>
      <c r="L205">
        <v>2.1666666666666666E-3</v>
      </c>
    </row>
    <row r="206" spans="1:12" x14ac:dyDescent="0.25">
      <c r="A206" s="27"/>
      <c r="B206" s="28"/>
      <c r="C206" s="29"/>
      <c r="D206" s="29"/>
      <c r="K206">
        <v>2.1666666666666666E-3</v>
      </c>
      <c r="L206">
        <v>2.1666666666666666E-3</v>
      </c>
    </row>
    <row r="207" spans="1:12" x14ac:dyDescent="0.25">
      <c r="A207" s="27"/>
      <c r="B207" s="28"/>
      <c r="C207" s="29"/>
      <c r="D207" s="29"/>
      <c r="K207">
        <v>2.1666666666666666E-3</v>
      </c>
      <c r="L207">
        <v>2.1666666666666666E-3</v>
      </c>
    </row>
    <row r="208" spans="1:12" x14ac:dyDescent="0.25">
      <c r="A208" s="27"/>
      <c r="B208" s="28"/>
      <c r="C208" s="29"/>
      <c r="D208" s="29"/>
      <c r="K208">
        <v>2.1774193548387095E-3</v>
      </c>
      <c r="L208">
        <v>2.1666666666666666E-3</v>
      </c>
    </row>
    <row r="209" spans="1:12" x14ac:dyDescent="0.25">
      <c r="A209" s="27"/>
      <c r="B209" s="28"/>
      <c r="C209" s="29"/>
      <c r="D209" s="29"/>
      <c r="K209">
        <v>2.1774193548387095E-3</v>
      </c>
      <c r="L209">
        <v>2.1666666666666666E-3</v>
      </c>
    </row>
    <row r="210" spans="1:12" x14ac:dyDescent="0.25">
      <c r="A210" s="27"/>
      <c r="B210" s="28"/>
      <c r="C210" s="29"/>
      <c r="D210" s="29"/>
      <c r="K210">
        <v>2.1774193548387095E-3</v>
      </c>
      <c r="L210">
        <v>2.1666666666666666E-3</v>
      </c>
    </row>
    <row r="211" spans="1:12" x14ac:dyDescent="0.25">
      <c r="A211" s="27"/>
      <c r="B211" s="28"/>
      <c r="C211" s="29"/>
      <c r="D211" s="29"/>
      <c r="K211">
        <v>2.1774193548387095E-3</v>
      </c>
      <c r="L211">
        <v>2.1774193548387095E-3</v>
      </c>
    </row>
    <row r="212" spans="1:12" x14ac:dyDescent="0.25">
      <c r="A212" s="27"/>
      <c r="B212" s="28"/>
      <c r="C212" s="29"/>
      <c r="D212" s="29"/>
      <c r="K212">
        <v>2.1774193548387095E-3</v>
      </c>
      <c r="L212">
        <v>2.1774193548387095E-3</v>
      </c>
    </row>
    <row r="213" spans="1:12" x14ac:dyDescent="0.25">
      <c r="A213" s="27"/>
      <c r="B213" s="28"/>
      <c r="C213" s="29"/>
      <c r="D213" s="29"/>
      <c r="K213">
        <v>2.1774193548387095E-3</v>
      </c>
      <c r="L213">
        <v>2.1774193548387095E-3</v>
      </c>
    </row>
    <row r="214" spans="1:12" x14ac:dyDescent="0.25">
      <c r="A214" s="27"/>
      <c r="B214" s="28"/>
      <c r="C214" s="29"/>
      <c r="D214" s="29"/>
      <c r="K214">
        <v>2.1774193548387095E-3</v>
      </c>
      <c r="L214">
        <v>2.1774193548387095E-3</v>
      </c>
    </row>
    <row r="215" spans="1:12" x14ac:dyDescent="0.25">
      <c r="A215" s="27"/>
      <c r="B215" s="28"/>
      <c r="C215" s="29"/>
      <c r="D215" s="29"/>
      <c r="K215">
        <v>2.1774193548387095E-3</v>
      </c>
      <c r="L215">
        <v>2.1774193548387095E-3</v>
      </c>
    </row>
    <row r="216" spans="1:12" x14ac:dyDescent="0.25">
      <c r="A216" s="27"/>
      <c r="B216" s="28"/>
      <c r="C216" s="29"/>
      <c r="D216" s="29"/>
      <c r="K216">
        <v>2.1774193548387095E-3</v>
      </c>
      <c r="L216">
        <v>2.1774193548387095E-3</v>
      </c>
    </row>
    <row r="217" spans="1:12" x14ac:dyDescent="0.25">
      <c r="A217" s="27"/>
      <c r="B217" s="28"/>
      <c r="C217" s="29"/>
      <c r="D217" s="29"/>
      <c r="K217">
        <v>2.1774193548387095E-3</v>
      </c>
      <c r="L217">
        <v>2.1774193548387095E-3</v>
      </c>
    </row>
    <row r="218" spans="1:12" x14ac:dyDescent="0.25">
      <c r="A218" s="27"/>
      <c r="B218" s="28"/>
      <c r="C218" s="29"/>
      <c r="D218" s="29"/>
      <c r="K218">
        <v>2.1774193548387095E-3</v>
      </c>
      <c r="L218">
        <v>2.1774193548387095E-3</v>
      </c>
    </row>
    <row r="219" spans="1:12" x14ac:dyDescent="0.25">
      <c r="A219" s="27"/>
      <c r="B219" s="28"/>
      <c r="C219" s="29"/>
      <c r="D219" s="29"/>
      <c r="K219">
        <v>2.1774193548387095E-3</v>
      </c>
      <c r="L219">
        <v>2.1774193548387095E-3</v>
      </c>
    </row>
    <row r="220" spans="1:12" x14ac:dyDescent="0.25">
      <c r="A220" s="27"/>
      <c r="B220" s="28"/>
      <c r="C220" s="29"/>
      <c r="D220" s="29"/>
      <c r="K220">
        <v>2.1774193548387095E-3</v>
      </c>
      <c r="L220">
        <v>2.1774193548387095E-3</v>
      </c>
    </row>
    <row r="221" spans="1:12" x14ac:dyDescent="0.25">
      <c r="A221" s="27"/>
      <c r="B221" s="28"/>
      <c r="C221" s="29"/>
      <c r="D221" s="29"/>
      <c r="K221">
        <v>2.1774193548387095E-3</v>
      </c>
      <c r="L221">
        <v>2.1774193548387095E-3</v>
      </c>
    </row>
    <row r="222" spans="1:12" x14ac:dyDescent="0.25">
      <c r="A222" s="27"/>
      <c r="B222" s="28"/>
      <c r="C222" s="29"/>
      <c r="D222" s="29"/>
      <c r="K222">
        <v>2.1774193548387095E-3</v>
      </c>
      <c r="L222">
        <v>2.1774193548387095E-3</v>
      </c>
    </row>
    <row r="223" spans="1:12" x14ac:dyDescent="0.25">
      <c r="A223" s="27"/>
      <c r="B223" s="28"/>
      <c r="C223" s="29"/>
      <c r="D223" s="29"/>
      <c r="K223">
        <v>2.1774193548387095E-3</v>
      </c>
      <c r="L223">
        <v>2.1774193548387095E-3</v>
      </c>
    </row>
    <row r="224" spans="1:12" x14ac:dyDescent="0.25">
      <c r="A224" s="27"/>
      <c r="B224" s="28"/>
      <c r="C224" s="29"/>
      <c r="D224" s="29"/>
      <c r="K224">
        <v>2.1774193548387095E-3</v>
      </c>
      <c r="L224">
        <v>2.1774193548387095E-3</v>
      </c>
    </row>
    <row r="225" spans="1:12" x14ac:dyDescent="0.25">
      <c r="A225" s="27"/>
      <c r="B225" s="28"/>
      <c r="C225" s="29"/>
      <c r="D225" s="29"/>
      <c r="K225">
        <v>2.1774193548387095E-3</v>
      </c>
      <c r="L225">
        <v>2.1774193548387095E-3</v>
      </c>
    </row>
    <row r="226" spans="1:12" x14ac:dyDescent="0.25">
      <c r="A226" s="27"/>
      <c r="B226" s="28"/>
      <c r="C226" s="29"/>
      <c r="D226" s="29"/>
      <c r="K226">
        <v>2.1774193548387095E-3</v>
      </c>
      <c r="L226">
        <v>2.1774193548387095E-3</v>
      </c>
    </row>
    <row r="227" spans="1:12" x14ac:dyDescent="0.25">
      <c r="A227" s="27"/>
      <c r="B227" s="28"/>
      <c r="C227" s="29"/>
      <c r="D227" s="29"/>
      <c r="K227">
        <v>2.1774193548387095E-3</v>
      </c>
      <c r="L227">
        <v>2.1774193548387095E-3</v>
      </c>
    </row>
    <row r="228" spans="1:12" x14ac:dyDescent="0.25">
      <c r="A228" s="27"/>
      <c r="B228" s="28"/>
      <c r="C228" s="29"/>
      <c r="D228" s="29"/>
      <c r="K228">
        <v>2.1774193548387095E-3</v>
      </c>
      <c r="L228">
        <v>2.1774193548387095E-3</v>
      </c>
    </row>
    <row r="229" spans="1:12" x14ac:dyDescent="0.25">
      <c r="A229" s="27"/>
      <c r="B229" s="28"/>
      <c r="C229" s="29"/>
      <c r="D229" s="29"/>
      <c r="K229">
        <v>2.1774193548387095E-3</v>
      </c>
      <c r="L229">
        <v>2.1774193548387095E-3</v>
      </c>
    </row>
    <row r="230" spans="1:12" x14ac:dyDescent="0.25">
      <c r="A230" s="27"/>
      <c r="B230" s="28"/>
      <c r="C230" s="29"/>
      <c r="D230" s="29"/>
      <c r="K230">
        <v>2.1774193548387095E-3</v>
      </c>
      <c r="L230">
        <v>2.1774193548387095E-3</v>
      </c>
    </row>
    <row r="231" spans="1:12" x14ac:dyDescent="0.25">
      <c r="A231" s="27"/>
      <c r="B231" s="28"/>
      <c r="C231" s="29"/>
      <c r="D231" s="29"/>
      <c r="K231">
        <v>2.1774193548387095E-3</v>
      </c>
      <c r="L231">
        <v>2.1774193548387095E-3</v>
      </c>
    </row>
    <row r="232" spans="1:12" x14ac:dyDescent="0.25">
      <c r="A232" s="27"/>
      <c r="B232" s="28"/>
      <c r="C232" s="29"/>
      <c r="D232" s="29"/>
      <c r="K232">
        <v>2.1774193548387095E-3</v>
      </c>
      <c r="L232">
        <v>2.1774193548387095E-3</v>
      </c>
    </row>
    <row r="233" spans="1:12" x14ac:dyDescent="0.25">
      <c r="A233" s="27"/>
      <c r="B233" s="28"/>
      <c r="C233" s="29"/>
      <c r="D233" s="29"/>
      <c r="K233">
        <v>2.1774193548387095E-3</v>
      </c>
      <c r="L233">
        <v>2.1774193548387095E-3</v>
      </c>
    </row>
    <row r="234" spans="1:12" x14ac:dyDescent="0.25">
      <c r="A234" s="27"/>
      <c r="B234" s="28"/>
      <c r="C234" s="29"/>
      <c r="D234" s="29"/>
      <c r="K234">
        <v>2.1774193548387095E-3</v>
      </c>
      <c r="L234">
        <v>2.1774193548387095E-3</v>
      </c>
    </row>
    <row r="235" spans="1:12" x14ac:dyDescent="0.25">
      <c r="A235" s="27"/>
      <c r="B235" s="28"/>
      <c r="C235" s="29"/>
      <c r="D235" s="29"/>
      <c r="K235">
        <v>2.1774193548387095E-3</v>
      </c>
      <c r="L235">
        <v>2.1774193548387095E-3</v>
      </c>
    </row>
    <row r="236" spans="1:12" x14ac:dyDescent="0.25">
      <c r="A236" s="27"/>
      <c r="B236" s="28"/>
      <c r="C236" s="29"/>
      <c r="D236" s="29"/>
      <c r="K236">
        <v>2.1774193548387095E-3</v>
      </c>
      <c r="L236">
        <v>2.1774193548387095E-3</v>
      </c>
    </row>
    <row r="237" spans="1:12" x14ac:dyDescent="0.25">
      <c r="A237" s="27"/>
      <c r="B237" s="28"/>
      <c r="C237" s="29"/>
      <c r="D237" s="29"/>
      <c r="K237">
        <v>2.1774193548387095E-3</v>
      </c>
      <c r="L237">
        <v>2.1774193548387095E-3</v>
      </c>
    </row>
    <row r="238" spans="1:12" x14ac:dyDescent="0.25">
      <c r="A238" s="27"/>
      <c r="B238" s="28"/>
      <c r="C238" s="29"/>
      <c r="D238" s="29"/>
      <c r="K238">
        <v>2.1774193548387095E-3</v>
      </c>
      <c r="L238">
        <v>2.1774193548387095E-3</v>
      </c>
    </row>
    <row r="239" spans="1:12" x14ac:dyDescent="0.25">
      <c r="A239" s="27"/>
      <c r="B239" s="28"/>
      <c r="C239" s="29"/>
      <c r="D239" s="29"/>
      <c r="K239">
        <v>2.3066666666666665E-3</v>
      </c>
      <c r="L239">
        <v>2.1774193548387095E-3</v>
      </c>
    </row>
    <row r="240" spans="1:12" x14ac:dyDescent="0.25">
      <c r="A240" s="27"/>
      <c r="B240" s="28"/>
      <c r="C240" s="29"/>
      <c r="D240" s="29"/>
      <c r="K240">
        <v>2.3066666666666665E-3</v>
      </c>
      <c r="L240">
        <v>2.1774193548387095E-3</v>
      </c>
    </row>
    <row r="241" spans="1:12" x14ac:dyDescent="0.25">
      <c r="A241" s="27"/>
      <c r="B241" s="28"/>
      <c r="C241" s="29"/>
      <c r="D241" s="29"/>
      <c r="K241">
        <v>2.3066666666666665E-3</v>
      </c>
      <c r="L241">
        <v>2.1774193548387095E-3</v>
      </c>
    </row>
    <row r="242" spans="1:12" x14ac:dyDescent="0.25">
      <c r="A242" s="27"/>
      <c r="B242" s="28"/>
      <c r="C242" s="29"/>
      <c r="D242" s="29"/>
      <c r="K242">
        <v>2.3066666666666665E-3</v>
      </c>
      <c r="L242">
        <v>0</v>
      </c>
    </row>
    <row r="243" spans="1:12" x14ac:dyDescent="0.25">
      <c r="A243" s="27"/>
      <c r="B243" s="28"/>
      <c r="C243" s="29"/>
      <c r="D243" s="29"/>
      <c r="K243">
        <v>2.3066666666666665E-3</v>
      </c>
      <c r="L243">
        <v>2.3066666666666665E-3</v>
      </c>
    </row>
    <row r="244" spans="1:12" x14ac:dyDescent="0.25">
      <c r="A244" s="27"/>
      <c r="B244" s="28"/>
      <c r="C244" s="29"/>
      <c r="D244" s="29"/>
      <c r="K244">
        <v>2.3066666666666665E-3</v>
      </c>
      <c r="L244">
        <v>2.3066666666666665E-3</v>
      </c>
    </row>
    <row r="245" spans="1:12" x14ac:dyDescent="0.25">
      <c r="A245" s="27"/>
      <c r="B245" s="28"/>
      <c r="C245" s="29"/>
      <c r="D245" s="29"/>
      <c r="K245">
        <v>2.3066666666666665E-3</v>
      </c>
      <c r="L245">
        <v>2.3066666666666665E-3</v>
      </c>
    </row>
    <row r="246" spans="1:12" x14ac:dyDescent="0.25">
      <c r="A246" s="27"/>
      <c r="B246" s="28"/>
      <c r="C246" s="29"/>
      <c r="D246" s="29"/>
      <c r="K246">
        <v>2.3066666666666665E-3</v>
      </c>
      <c r="L246">
        <v>2.3066666666666665E-3</v>
      </c>
    </row>
    <row r="247" spans="1:12" x14ac:dyDescent="0.25">
      <c r="A247" s="27"/>
      <c r="B247" s="28"/>
      <c r="C247" s="29"/>
      <c r="D247" s="29"/>
      <c r="K247">
        <v>2.3066666666666665E-3</v>
      </c>
      <c r="L247">
        <v>2.3066666666666665E-3</v>
      </c>
    </row>
    <row r="248" spans="1:12" x14ac:dyDescent="0.25">
      <c r="A248" s="27"/>
      <c r="B248" s="28"/>
      <c r="C248" s="29"/>
      <c r="D248" s="29"/>
      <c r="K248">
        <v>2.3066666666666665E-3</v>
      </c>
      <c r="L248">
        <v>2.3066666666666665E-3</v>
      </c>
    </row>
    <row r="249" spans="1:12" x14ac:dyDescent="0.25">
      <c r="A249" s="27"/>
      <c r="B249" s="28"/>
      <c r="C249" s="29"/>
      <c r="D249" s="29"/>
      <c r="K249">
        <v>2.3066666666666665E-3</v>
      </c>
      <c r="L249">
        <v>2.3066666666666665E-3</v>
      </c>
    </row>
    <row r="250" spans="1:12" x14ac:dyDescent="0.25">
      <c r="A250" s="27"/>
      <c r="B250" s="28"/>
      <c r="C250" s="29"/>
      <c r="D250" s="29"/>
      <c r="K250">
        <v>2.3066666666666665E-3</v>
      </c>
      <c r="L250">
        <v>2.3066666666666665E-3</v>
      </c>
    </row>
    <row r="251" spans="1:12" x14ac:dyDescent="0.25">
      <c r="A251" s="27"/>
      <c r="B251" s="28"/>
      <c r="C251" s="29"/>
      <c r="D251" s="29"/>
      <c r="K251">
        <v>2.3066666666666665E-3</v>
      </c>
      <c r="L251">
        <v>2.3066666666666665E-3</v>
      </c>
    </row>
    <row r="252" spans="1:12" x14ac:dyDescent="0.25">
      <c r="A252" s="27"/>
      <c r="B252" s="28"/>
      <c r="C252" s="29"/>
      <c r="D252" s="29"/>
      <c r="K252">
        <v>2.3066666666666665E-3</v>
      </c>
      <c r="L252">
        <v>2.3066666666666665E-3</v>
      </c>
    </row>
    <row r="253" spans="1:12" x14ac:dyDescent="0.25">
      <c r="A253" s="27"/>
      <c r="B253" s="28"/>
      <c r="C253" s="29"/>
      <c r="D253" s="29"/>
      <c r="K253">
        <v>2.3066666666666665E-3</v>
      </c>
      <c r="L253">
        <v>2.3066666666666665E-3</v>
      </c>
    </row>
    <row r="254" spans="1:12" x14ac:dyDescent="0.25">
      <c r="A254" s="27"/>
      <c r="B254" s="28"/>
      <c r="C254" s="29"/>
      <c r="D254" s="29"/>
      <c r="K254">
        <v>2.3066666666666665E-3</v>
      </c>
      <c r="L254">
        <v>2.3066666666666665E-3</v>
      </c>
    </row>
    <row r="255" spans="1:12" x14ac:dyDescent="0.25">
      <c r="A255" s="27"/>
      <c r="B255" s="28"/>
      <c r="C255" s="29"/>
      <c r="D255" s="29"/>
      <c r="K255">
        <v>2.3066666666666665E-3</v>
      </c>
      <c r="L255">
        <v>2.3066666666666665E-3</v>
      </c>
    </row>
    <row r="256" spans="1:12" x14ac:dyDescent="0.25">
      <c r="A256" s="27"/>
      <c r="B256" s="28"/>
      <c r="C256" s="29"/>
      <c r="D256" s="29"/>
      <c r="K256">
        <v>2.3066666666666665E-3</v>
      </c>
      <c r="L256">
        <v>2.3066666666666665E-3</v>
      </c>
    </row>
    <row r="257" spans="1:12" x14ac:dyDescent="0.25">
      <c r="A257" s="27"/>
      <c r="B257" s="28"/>
      <c r="C257" s="29"/>
      <c r="D257" s="29"/>
      <c r="K257">
        <v>2.3066666666666665E-3</v>
      </c>
      <c r="L257">
        <v>2.3066666666666665E-3</v>
      </c>
    </row>
    <row r="258" spans="1:12" x14ac:dyDescent="0.25">
      <c r="A258" s="27"/>
      <c r="B258" s="28"/>
      <c r="C258" s="29"/>
      <c r="D258" s="29"/>
      <c r="K258">
        <v>2.3066666666666665E-3</v>
      </c>
      <c r="L258">
        <v>2.3066666666666665E-3</v>
      </c>
    </row>
    <row r="259" spans="1:12" x14ac:dyDescent="0.25">
      <c r="A259" s="27"/>
      <c r="B259" s="28"/>
      <c r="C259" s="29"/>
      <c r="D259" s="29"/>
      <c r="K259">
        <v>2.3066666666666665E-3</v>
      </c>
      <c r="L259">
        <v>2.3066666666666665E-3</v>
      </c>
    </row>
    <row r="260" spans="1:12" x14ac:dyDescent="0.25">
      <c r="A260" s="27"/>
      <c r="B260" s="28"/>
      <c r="C260" s="29"/>
      <c r="D260" s="29"/>
      <c r="K260">
        <v>2.3066666666666665E-3</v>
      </c>
      <c r="L260">
        <v>2.3066666666666665E-3</v>
      </c>
    </row>
    <row r="261" spans="1:12" x14ac:dyDescent="0.25">
      <c r="A261" s="27"/>
      <c r="B261" s="28"/>
      <c r="C261" s="29"/>
      <c r="D261" s="29"/>
      <c r="K261">
        <v>2.3066666666666665E-3</v>
      </c>
      <c r="L261">
        <v>2.3066666666666665E-3</v>
      </c>
    </row>
    <row r="262" spans="1:12" x14ac:dyDescent="0.25">
      <c r="A262" s="27"/>
      <c r="B262" s="28"/>
      <c r="C262" s="29"/>
      <c r="D262" s="29"/>
      <c r="K262">
        <v>2.3066666666666665E-3</v>
      </c>
      <c r="L262">
        <v>2.3066666666666665E-3</v>
      </c>
    </row>
    <row r="263" spans="1:12" x14ac:dyDescent="0.25">
      <c r="A263" s="27"/>
      <c r="B263" s="28"/>
      <c r="C263" s="29"/>
      <c r="D263" s="29"/>
      <c r="K263">
        <v>2.3066666666666665E-3</v>
      </c>
      <c r="L263">
        <v>2.3066666666666665E-3</v>
      </c>
    </row>
    <row r="264" spans="1:12" x14ac:dyDescent="0.25">
      <c r="A264" s="27"/>
      <c r="B264" s="28"/>
      <c r="C264" s="29"/>
      <c r="D264" s="29"/>
      <c r="K264">
        <v>2.3066666666666665E-3</v>
      </c>
      <c r="L264">
        <v>2.3066666666666665E-3</v>
      </c>
    </row>
    <row r="265" spans="1:12" x14ac:dyDescent="0.25">
      <c r="A265" s="27"/>
      <c r="B265" s="28"/>
      <c r="C265" s="29"/>
      <c r="D265" s="29"/>
      <c r="K265">
        <v>2.3066666666666665E-3</v>
      </c>
      <c r="L265">
        <v>2.3066666666666665E-3</v>
      </c>
    </row>
    <row r="266" spans="1:12" x14ac:dyDescent="0.25">
      <c r="A266" s="27"/>
      <c r="B266" s="28"/>
      <c r="C266" s="29"/>
      <c r="D266" s="29"/>
      <c r="K266">
        <v>2.3066666666666665E-3</v>
      </c>
      <c r="L266">
        <v>2.3066666666666665E-3</v>
      </c>
    </row>
    <row r="267" spans="1:12" x14ac:dyDescent="0.25">
      <c r="A267" s="27"/>
      <c r="B267" s="28"/>
      <c r="C267" s="29"/>
      <c r="D267" s="29"/>
      <c r="K267">
        <v>2.3066666666666665E-3</v>
      </c>
      <c r="L267">
        <v>2.3066666666666665E-3</v>
      </c>
    </row>
    <row r="268" spans="1:12" x14ac:dyDescent="0.25">
      <c r="A268" s="27"/>
      <c r="B268" s="28"/>
      <c r="C268" s="29"/>
      <c r="D268" s="29"/>
      <c r="K268">
        <v>2.3066666666666665E-3</v>
      </c>
      <c r="L268">
        <v>2.3066666666666665E-3</v>
      </c>
    </row>
    <row r="269" spans="1:12" x14ac:dyDescent="0.25">
      <c r="A269" s="27"/>
      <c r="B269" s="28"/>
      <c r="C269" s="29"/>
      <c r="D269" s="29"/>
      <c r="K269">
        <v>2.8909090909090911E-3</v>
      </c>
      <c r="L269">
        <v>2.3066666666666665E-3</v>
      </c>
    </row>
    <row r="270" spans="1:12" x14ac:dyDescent="0.25">
      <c r="A270" s="27"/>
      <c r="B270" s="28"/>
      <c r="C270" s="29"/>
      <c r="D270" s="29"/>
      <c r="K270">
        <v>2.8909090909090911E-3</v>
      </c>
      <c r="L270">
        <v>2.3066666666666665E-3</v>
      </c>
    </row>
    <row r="271" spans="1:12" x14ac:dyDescent="0.25">
      <c r="A271" s="27"/>
      <c r="B271" s="28"/>
      <c r="C271" s="29"/>
      <c r="D271" s="29"/>
      <c r="K271">
        <v>2.8909090909090911E-3</v>
      </c>
      <c r="L271">
        <v>2.3066666666666665E-3</v>
      </c>
    </row>
    <row r="272" spans="1:12" x14ac:dyDescent="0.25">
      <c r="A272" s="27"/>
      <c r="B272" s="28"/>
      <c r="C272" s="29"/>
      <c r="D272" s="29"/>
      <c r="K272">
        <v>2.8909090909090911E-3</v>
      </c>
      <c r="L272">
        <v>2.3066666666666665E-3</v>
      </c>
    </row>
    <row r="273" spans="1:12" x14ac:dyDescent="0.25">
      <c r="A273" s="27"/>
      <c r="B273" s="28"/>
      <c r="C273" s="29"/>
      <c r="D273" s="29"/>
      <c r="K273">
        <v>2.8909090909090911E-3</v>
      </c>
      <c r="L273">
        <v>2.8909090909090911E-3</v>
      </c>
    </row>
    <row r="274" spans="1:12" x14ac:dyDescent="0.25">
      <c r="A274" s="27"/>
      <c r="B274" s="28"/>
      <c r="C274" s="29"/>
      <c r="D274" s="29"/>
      <c r="K274">
        <v>2.8909090909090911E-3</v>
      </c>
      <c r="L274">
        <v>2.8909090909090911E-3</v>
      </c>
    </row>
    <row r="275" spans="1:12" x14ac:dyDescent="0.25">
      <c r="A275" s="27"/>
      <c r="B275" s="28"/>
      <c r="C275" s="29"/>
      <c r="D275" s="29"/>
      <c r="K275">
        <v>2.8909090909090911E-3</v>
      </c>
      <c r="L275">
        <v>2.8909090909090911E-3</v>
      </c>
    </row>
    <row r="276" spans="1:12" x14ac:dyDescent="0.25">
      <c r="A276" s="27"/>
      <c r="B276" s="28"/>
      <c r="C276" s="29"/>
      <c r="D276" s="29"/>
      <c r="K276">
        <v>2.8909090909090911E-3</v>
      </c>
      <c r="L276">
        <v>2.8909090909090911E-3</v>
      </c>
    </row>
    <row r="277" spans="1:12" x14ac:dyDescent="0.25">
      <c r="A277" s="27"/>
      <c r="B277" s="28"/>
      <c r="C277" s="29"/>
      <c r="D277" s="29"/>
      <c r="K277">
        <v>2.8909090909090911E-3</v>
      </c>
      <c r="L277">
        <v>2.8909090909090911E-3</v>
      </c>
    </row>
    <row r="278" spans="1:12" x14ac:dyDescent="0.25">
      <c r="A278" s="27"/>
      <c r="B278" s="28"/>
      <c r="C278" s="29"/>
      <c r="D278" s="29"/>
      <c r="K278">
        <v>2.8909090909090911E-3</v>
      </c>
      <c r="L278">
        <v>2.8909090909090911E-3</v>
      </c>
    </row>
    <row r="279" spans="1:12" x14ac:dyDescent="0.25">
      <c r="A279" s="27"/>
      <c r="B279" s="28"/>
      <c r="C279" s="29"/>
      <c r="D279" s="29"/>
      <c r="K279">
        <v>2.8909090909090911E-3</v>
      </c>
      <c r="L279">
        <v>2.8909090909090911E-3</v>
      </c>
    </row>
    <row r="280" spans="1:12" x14ac:dyDescent="0.25">
      <c r="A280" s="27"/>
      <c r="B280" s="28"/>
      <c r="C280" s="29"/>
      <c r="D280" s="29"/>
      <c r="K280">
        <v>2.8909090909090911E-3</v>
      </c>
      <c r="L280">
        <v>2.8909090909090911E-3</v>
      </c>
    </row>
    <row r="281" spans="1:12" x14ac:dyDescent="0.25">
      <c r="A281" s="27"/>
      <c r="B281" s="28"/>
      <c r="C281" s="29"/>
      <c r="D281" s="29"/>
      <c r="K281">
        <v>2.8909090909090911E-3</v>
      </c>
      <c r="L281">
        <v>0</v>
      </c>
    </row>
    <row r="282" spans="1:12" x14ac:dyDescent="0.25">
      <c r="A282" s="27"/>
      <c r="B282" s="28"/>
      <c r="C282" s="29"/>
      <c r="D282" s="29"/>
      <c r="K282">
        <v>2.8909090909090911E-3</v>
      </c>
      <c r="L282">
        <v>0</v>
      </c>
    </row>
    <row r="283" spans="1:12" x14ac:dyDescent="0.25">
      <c r="A283" s="27"/>
      <c r="B283" s="28"/>
      <c r="C283" s="29"/>
      <c r="D283" s="29"/>
      <c r="K283">
        <v>2.8909090909090911E-3</v>
      </c>
      <c r="L283">
        <v>0</v>
      </c>
    </row>
    <row r="284" spans="1:12" x14ac:dyDescent="0.25">
      <c r="A284" s="27"/>
      <c r="B284" s="28"/>
      <c r="C284" s="29"/>
      <c r="D284" s="29"/>
      <c r="K284">
        <v>2.8909090909090911E-3</v>
      </c>
      <c r="L284">
        <v>0</v>
      </c>
    </row>
    <row r="285" spans="1:12" x14ac:dyDescent="0.25">
      <c r="A285" s="27"/>
      <c r="B285" s="28"/>
      <c r="C285" s="29"/>
      <c r="D285" s="29"/>
      <c r="K285">
        <v>2.8909090909090911E-3</v>
      </c>
      <c r="L285">
        <v>0</v>
      </c>
    </row>
    <row r="286" spans="1:12" x14ac:dyDescent="0.25">
      <c r="A286" s="27"/>
      <c r="B286" s="28"/>
      <c r="C286" s="29"/>
      <c r="D286" s="29"/>
      <c r="K286">
        <v>2.8909090909090911E-3</v>
      </c>
      <c r="L286">
        <v>0</v>
      </c>
    </row>
    <row r="287" spans="1:12" x14ac:dyDescent="0.25">
      <c r="A287" s="27"/>
      <c r="B287" s="28"/>
      <c r="C287" s="29"/>
      <c r="D287" s="29"/>
      <c r="K287">
        <v>2.8909090909090911E-3</v>
      </c>
      <c r="L287">
        <v>2.8909090909090911E-3</v>
      </c>
    </row>
    <row r="288" spans="1:12" x14ac:dyDescent="0.25">
      <c r="A288" s="27"/>
      <c r="B288" s="28"/>
      <c r="C288" s="29"/>
      <c r="D288" s="29"/>
      <c r="K288">
        <v>2.8909090909090911E-3</v>
      </c>
      <c r="L288">
        <v>2.8909090909090911E-3</v>
      </c>
    </row>
    <row r="289" spans="1:12" x14ac:dyDescent="0.25">
      <c r="A289" s="27"/>
      <c r="B289" s="28"/>
      <c r="C289" s="29"/>
      <c r="D289" s="29"/>
      <c r="K289">
        <v>2.8909090909090911E-3</v>
      </c>
      <c r="L289">
        <v>2.8909090909090911E-3</v>
      </c>
    </row>
    <row r="290" spans="1:12" x14ac:dyDescent="0.25">
      <c r="A290" s="27"/>
      <c r="B290" s="28"/>
      <c r="C290" s="29"/>
      <c r="D290" s="29"/>
      <c r="K290">
        <v>2.8909090909090911E-3</v>
      </c>
      <c r="L290">
        <v>2.8909090909090911E-3</v>
      </c>
    </row>
    <row r="291" spans="1:12" x14ac:dyDescent="0.25">
      <c r="A291" s="27"/>
      <c r="B291" s="28"/>
      <c r="C291" s="29"/>
      <c r="D291" s="29"/>
      <c r="K291">
        <v>2.2193548387096774E-3</v>
      </c>
      <c r="L291">
        <v>2.8909090909090911E-3</v>
      </c>
    </row>
    <row r="292" spans="1:12" x14ac:dyDescent="0.25">
      <c r="A292" s="27"/>
      <c r="B292" s="28"/>
      <c r="C292" s="29"/>
      <c r="D292" s="29"/>
      <c r="K292">
        <v>2.2193548387096774E-3</v>
      </c>
      <c r="L292">
        <v>2.8909090909090911E-3</v>
      </c>
    </row>
    <row r="293" spans="1:12" x14ac:dyDescent="0.25">
      <c r="A293" s="27"/>
      <c r="B293" s="28"/>
      <c r="C293" s="29"/>
      <c r="D293" s="29"/>
      <c r="K293">
        <v>2.2193548387096774E-3</v>
      </c>
      <c r="L293">
        <v>2.8909090909090911E-3</v>
      </c>
    </row>
    <row r="294" spans="1:12" x14ac:dyDescent="0.25">
      <c r="A294" s="27"/>
      <c r="B294" s="28"/>
      <c r="C294" s="29"/>
      <c r="D294" s="29"/>
      <c r="K294">
        <v>2.2193548387096774E-3</v>
      </c>
      <c r="L294">
        <v>2.8909090909090911E-3</v>
      </c>
    </row>
    <row r="295" spans="1:12" x14ac:dyDescent="0.25">
      <c r="A295" s="27"/>
      <c r="B295" s="28"/>
      <c r="C295" s="29"/>
      <c r="D295" s="29"/>
      <c r="K295">
        <v>2.2193548387096774E-3</v>
      </c>
      <c r="L295">
        <v>2.8909090909090911E-3</v>
      </c>
    </row>
    <row r="296" spans="1:12" x14ac:dyDescent="0.25">
      <c r="A296" s="27"/>
      <c r="B296" s="28"/>
      <c r="C296" s="29"/>
      <c r="D296" s="29"/>
      <c r="K296">
        <v>2.2193548387096774E-3</v>
      </c>
      <c r="L296">
        <v>2.8909090909090911E-3</v>
      </c>
    </row>
    <row r="297" spans="1:12" x14ac:dyDescent="0.25">
      <c r="A297" s="27"/>
      <c r="B297" s="28"/>
      <c r="C297" s="29"/>
      <c r="D297" s="29"/>
      <c r="K297">
        <v>2.2193548387096774E-3</v>
      </c>
      <c r="L297">
        <v>2.8909090909090911E-3</v>
      </c>
    </row>
    <row r="298" spans="1:12" x14ac:dyDescent="0.25">
      <c r="A298" s="27"/>
      <c r="B298" s="28"/>
      <c r="C298" s="29"/>
      <c r="D298" s="29"/>
      <c r="K298">
        <v>2.2193548387096774E-3</v>
      </c>
      <c r="L298">
        <v>2.8909090909090911E-3</v>
      </c>
    </row>
    <row r="299" spans="1:12" x14ac:dyDescent="0.25">
      <c r="A299" s="27"/>
      <c r="B299" s="28"/>
      <c r="C299" s="29"/>
      <c r="D299" s="29"/>
      <c r="K299">
        <v>2.2193548387096774E-3</v>
      </c>
      <c r="L299">
        <v>2.8909090909090911E-3</v>
      </c>
    </row>
    <row r="300" spans="1:12" x14ac:dyDescent="0.25">
      <c r="A300" s="27"/>
      <c r="B300" s="28"/>
      <c r="C300" s="29"/>
      <c r="D300" s="29"/>
      <c r="K300">
        <v>2.2193548387096774E-3</v>
      </c>
      <c r="L300">
        <v>0</v>
      </c>
    </row>
    <row r="301" spans="1:12" x14ac:dyDescent="0.25">
      <c r="A301" s="27"/>
      <c r="B301" s="28"/>
      <c r="C301" s="29"/>
      <c r="D301" s="29"/>
      <c r="K301">
        <v>2.2193548387096774E-3</v>
      </c>
      <c r="L301">
        <v>2.8909090909090911E-3</v>
      </c>
    </row>
    <row r="302" spans="1:12" x14ac:dyDescent="0.25">
      <c r="A302" s="27"/>
      <c r="B302" s="28"/>
      <c r="C302" s="29"/>
      <c r="D302" s="29"/>
      <c r="K302">
        <v>2.2193548387096774E-3</v>
      </c>
      <c r="L302">
        <v>2.2193548387096774E-3</v>
      </c>
    </row>
    <row r="303" spans="1:12" x14ac:dyDescent="0.25">
      <c r="A303" s="27"/>
      <c r="B303" s="28"/>
      <c r="C303" s="29"/>
      <c r="D303" s="29"/>
      <c r="K303">
        <v>2.2193548387096774E-3</v>
      </c>
      <c r="L303">
        <v>2.2193548387096774E-3</v>
      </c>
    </row>
    <row r="304" spans="1:12" x14ac:dyDescent="0.25">
      <c r="A304" s="27"/>
      <c r="B304" s="28"/>
      <c r="C304" s="29"/>
      <c r="D304" s="29"/>
      <c r="K304">
        <v>2.2193548387096774E-3</v>
      </c>
      <c r="L304">
        <v>2.2193548387096774E-3</v>
      </c>
    </row>
    <row r="305" spans="1:12" x14ac:dyDescent="0.25">
      <c r="A305" s="27"/>
      <c r="B305" s="28"/>
      <c r="C305" s="29"/>
      <c r="D305" s="29"/>
      <c r="K305">
        <v>2.2193548387096774E-3</v>
      </c>
      <c r="L305">
        <v>2.2193548387096774E-3</v>
      </c>
    </row>
    <row r="306" spans="1:12" x14ac:dyDescent="0.25">
      <c r="A306" s="27"/>
      <c r="B306" s="28"/>
      <c r="C306" s="29"/>
      <c r="D306" s="29"/>
      <c r="K306">
        <v>2.2193548387096774E-3</v>
      </c>
      <c r="L306">
        <v>2.2193548387096774E-3</v>
      </c>
    </row>
    <row r="307" spans="1:12" x14ac:dyDescent="0.25">
      <c r="A307" s="27"/>
      <c r="B307" s="28"/>
      <c r="C307" s="29"/>
      <c r="D307" s="29"/>
      <c r="K307">
        <v>2.2193548387096774E-3</v>
      </c>
      <c r="L307">
        <v>2.2193548387096774E-3</v>
      </c>
    </row>
    <row r="308" spans="1:12" x14ac:dyDescent="0.25">
      <c r="A308" s="27"/>
      <c r="B308" s="28"/>
      <c r="C308" s="29"/>
      <c r="D308" s="29"/>
      <c r="K308">
        <v>2.2193548387096774E-3</v>
      </c>
      <c r="L308">
        <v>2.2193548387096774E-3</v>
      </c>
    </row>
    <row r="309" spans="1:12" x14ac:dyDescent="0.25">
      <c r="A309" s="27"/>
      <c r="B309" s="28"/>
      <c r="C309" s="29"/>
      <c r="D309" s="29"/>
      <c r="K309">
        <v>2.2193548387096774E-3</v>
      </c>
      <c r="L309">
        <v>2.2193548387096774E-3</v>
      </c>
    </row>
    <row r="310" spans="1:12" x14ac:dyDescent="0.25">
      <c r="A310" s="27"/>
      <c r="B310" s="28"/>
      <c r="C310" s="29"/>
      <c r="D310" s="29"/>
      <c r="K310">
        <v>2.2193548387096774E-3</v>
      </c>
      <c r="L310">
        <v>2.2193548387096774E-3</v>
      </c>
    </row>
    <row r="311" spans="1:12" x14ac:dyDescent="0.25">
      <c r="A311" s="27"/>
      <c r="B311" s="28"/>
      <c r="C311" s="29"/>
      <c r="D311" s="29"/>
      <c r="K311">
        <v>2.2193548387096774E-3</v>
      </c>
      <c r="L311">
        <v>2.2193548387096774E-3</v>
      </c>
    </row>
    <row r="312" spans="1:12" x14ac:dyDescent="0.25">
      <c r="A312" s="27"/>
      <c r="B312" s="28"/>
      <c r="C312" s="29"/>
      <c r="D312" s="29"/>
      <c r="K312">
        <v>2.2193548387096774E-3</v>
      </c>
      <c r="L312">
        <v>2.2193548387096774E-3</v>
      </c>
    </row>
    <row r="313" spans="1:12" x14ac:dyDescent="0.25">
      <c r="A313" s="27"/>
      <c r="B313" s="28"/>
      <c r="C313" s="29"/>
      <c r="D313" s="29"/>
      <c r="K313">
        <v>2.2193548387096774E-3</v>
      </c>
      <c r="L313">
        <v>2.2193548387096774E-3</v>
      </c>
    </row>
    <row r="314" spans="1:12" x14ac:dyDescent="0.25">
      <c r="A314" s="27"/>
      <c r="B314" s="28"/>
      <c r="C314" s="29"/>
      <c r="D314" s="29"/>
      <c r="K314">
        <v>2.2193548387096774E-3</v>
      </c>
      <c r="L314">
        <v>2.2193548387096774E-3</v>
      </c>
    </row>
    <row r="315" spans="1:12" x14ac:dyDescent="0.25">
      <c r="A315" s="27"/>
      <c r="B315" s="28"/>
      <c r="C315" s="29"/>
      <c r="D315" s="29"/>
      <c r="K315">
        <v>2.2193548387096774E-3</v>
      </c>
      <c r="L315">
        <v>2.2193548387096774E-3</v>
      </c>
    </row>
    <row r="316" spans="1:12" x14ac:dyDescent="0.25">
      <c r="A316" s="27"/>
      <c r="B316" s="28"/>
      <c r="C316" s="29"/>
      <c r="D316" s="29"/>
      <c r="K316">
        <v>2.2193548387096774E-3</v>
      </c>
      <c r="L316">
        <v>2.2193548387096774E-3</v>
      </c>
    </row>
    <row r="317" spans="1:12" x14ac:dyDescent="0.25">
      <c r="A317" s="27"/>
      <c r="B317" s="28"/>
      <c r="C317" s="29"/>
      <c r="D317" s="29"/>
      <c r="K317">
        <v>2.2193548387096774E-3</v>
      </c>
      <c r="L317">
        <v>2.2193548387096774E-3</v>
      </c>
    </row>
    <row r="318" spans="1:12" x14ac:dyDescent="0.25">
      <c r="A318" s="27"/>
      <c r="B318" s="28"/>
      <c r="C318" s="29"/>
      <c r="D318" s="29"/>
      <c r="K318">
        <v>2.2193548387096774E-3</v>
      </c>
      <c r="L318">
        <v>2.2193548387096774E-3</v>
      </c>
    </row>
    <row r="319" spans="1:12" x14ac:dyDescent="0.25">
      <c r="A319" s="27"/>
      <c r="B319" s="28"/>
      <c r="C319" s="29"/>
      <c r="D319" s="29"/>
      <c r="K319">
        <v>2.2193548387096774E-3</v>
      </c>
      <c r="L319">
        <v>2.2193548387096774E-3</v>
      </c>
    </row>
    <row r="320" spans="1:12" x14ac:dyDescent="0.25">
      <c r="A320" s="27"/>
      <c r="B320" s="28"/>
      <c r="C320" s="29"/>
      <c r="D320" s="29"/>
      <c r="K320">
        <v>2.2193548387096774E-3</v>
      </c>
      <c r="L320">
        <v>2.2193548387096774E-3</v>
      </c>
    </row>
    <row r="321" spans="1:12" x14ac:dyDescent="0.25">
      <c r="A321" s="27"/>
      <c r="B321" s="28"/>
      <c r="C321" s="29"/>
      <c r="D321" s="29"/>
      <c r="K321">
        <v>2.2193548387096774E-3</v>
      </c>
      <c r="L321">
        <v>2.2193548387096774E-3</v>
      </c>
    </row>
    <row r="322" spans="1:12" x14ac:dyDescent="0.25">
      <c r="A322" s="27"/>
      <c r="B322" s="28"/>
      <c r="C322" s="29"/>
      <c r="D322" s="29"/>
      <c r="K322">
        <v>3.6285714285714289E-3</v>
      </c>
      <c r="L322">
        <v>2.2193548387096774E-3</v>
      </c>
    </row>
    <row r="323" spans="1:12" x14ac:dyDescent="0.25">
      <c r="A323" s="27"/>
      <c r="B323" s="28"/>
      <c r="C323" s="29"/>
      <c r="D323" s="29"/>
      <c r="K323">
        <v>3.6285714285714289E-3</v>
      </c>
      <c r="L323">
        <v>2.2193548387096774E-3</v>
      </c>
    </row>
    <row r="324" spans="1:12" x14ac:dyDescent="0.25">
      <c r="A324" s="27"/>
      <c r="B324" s="28"/>
      <c r="C324" s="29"/>
      <c r="D324" s="29"/>
      <c r="K324">
        <v>3.6285714285714289E-3</v>
      </c>
      <c r="L324">
        <v>2.2193548387096774E-3</v>
      </c>
    </row>
    <row r="325" spans="1:12" x14ac:dyDescent="0.25">
      <c r="A325" s="27"/>
      <c r="B325" s="28"/>
      <c r="C325" s="29"/>
      <c r="D325" s="29"/>
      <c r="K325">
        <v>3.6285714285714289E-3</v>
      </c>
      <c r="L325">
        <v>2.2193548387096774E-3</v>
      </c>
    </row>
    <row r="326" spans="1:12" x14ac:dyDescent="0.25">
      <c r="A326" s="27"/>
      <c r="B326" s="28"/>
      <c r="C326" s="29"/>
      <c r="D326" s="29"/>
      <c r="K326">
        <v>3.6285714285714289E-3</v>
      </c>
      <c r="L326">
        <v>2.2193548387096774E-3</v>
      </c>
    </row>
    <row r="327" spans="1:12" x14ac:dyDescent="0.25">
      <c r="A327" s="27"/>
      <c r="B327" s="28"/>
      <c r="C327" s="29"/>
      <c r="D327" s="29"/>
      <c r="K327">
        <v>3.6285714285714289E-3</v>
      </c>
      <c r="L327">
        <v>2.2193548387096774E-3</v>
      </c>
    </row>
    <row r="328" spans="1:12" x14ac:dyDescent="0.25">
      <c r="A328" s="27"/>
      <c r="B328" s="28"/>
      <c r="C328" s="29"/>
      <c r="D328" s="29"/>
      <c r="K328">
        <v>3.6285714285714289E-3</v>
      </c>
      <c r="L328">
        <v>2.2193548387096774E-3</v>
      </c>
    </row>
    <row r="329" spans="1:12" x14ac:dyDescent="0.25">
      <c r="A329" s="27"/>
      <c r="B329" s="28"/>
      <c r="C329" s="29"/>
      <c r="D329" s="29"/>
      <c r="K329">
        <v>3.6285714285714289E-3</v>
      </c>
      <c r="L329">
        <v>2.2193548387096774E-3</v>
      </c>
    </row>
    <row r="330" spans="1:12" x14ac:dyDescent="0.25">
      <c r="A330" s="27"/>
      <c r="B330" s="28"/>
      <c r="C330" s="29"/>
      <c r="D330" s="29"/>
      <c r="K330">
        <v>3.6285714285714289E-3</v>
      </c>
      <c r="L330">
        <v>2.2193548387096774E-3</v>
      </c>
    </row>
    <row r="331" spans="1:12" x14ac:dyDescent="0.25">
      <c r="A331" s="27"/>
      <c r="B331" s="28"/>
      <c r="C331" s="29"/>
      <c r="D331" s="29"/>
      <c r="K331">
        <v>3.6285714285714289E-3</v>
      </c>
      <c r="L331">
        <v>2.2193548387096774E-3</v>
      </c>
    </row>
    <row r="332" spans="1:12" x14ac:dyDescent="0.25">
      <c r="A332" s="27"/>
      <c r="B332" s="28"/>
      <c r="C332" s="29"/>
      <c r="D332" s="29"/>
      <c r="K332">
        <v>3.6285714285714289E-3</v>
      </c>
      <c r="L332">
        <v>2.2193548387096774E-3</v>
      </c>
    </row>
    <row r="333" spans="1:12" x14ac:dyDescent="0.25">
      <c r="A333" s="27"/>
      <c r="B333" s="28"/>
      <c r="C333" s="29"/>
      <c r="D333" s="29"/>
      <c r="K333">
        <v>3.6285714285714289E-3</v>
      </c>
      <c r="L333">
        <v>3.6285714285714289E-3</v>
      </c>
    </row>
    <row r="334" spans="1:12" x14ac:dyDescent="0.25">
      <c r="A334" s="27"/>
      <c r="B334" s="28"/>
      <c r="C334" s="29"/>
      <c r="D334" s="29"/>
      <c r="K334">
        <v>3.6285714285714289E-3</v>
      </c>
      <c r="L334">
        <v>3.6285714285714289E-3</v>
      </c>
    </row>
    <row r="335" spans="1:12" x14ac:dyDescent="0.25">
      <c r="A335" s="27"/>
      <c r="B335" s="28"/>
      <c r="C335" s="29"/>
      <c r="D335" s="29"/>
      <c r="K335">
        <v>3.6285714285714289E-3</v>
      </c>
      <c r="L335">
        <v>3.6285714285714289E-3</v>
      </c>
    </row>
    <row r="336" spans="1:12" x14ac:dyDescent="0.25">
      <c r="A336" s="27"/>
      <c r="B336" s="28"/>
      <c r="C336" s="29"/>
      <c r="D336" s="29"/>
      <c r="K336">
        <v>3.6285714285714289E-3</v>
      </c>
      <c r="L336">
        <v>0</v>
      </c>
    </row>
    <row r="337" spans="1:12" x14ac:dyDescent="0.25">
      <c r="A337" s="27"/>
      <c r="B337" s="28"/>
      <c r="C337" s="29"/>
      <c r="D337" s="29"/>
      <c r="K337">
        <v>3.6285714285714289E-3</v>
      </c>
      <c r="L337">
        <v>0</v>
      </c>
    </row>
    <row r="338" spans="1:12" x14ac:dyDescent="0.25">
      <c r="A338" s="27"/>
      <c r="B338" s="28"/>
      <c r="C338" s="29"/>
      <c r="D338" s="29"/>
      <c r="K338">
        <v>3.6285714285714289E-3</v>
      </c>
      <c r="L338">
        <v>3.6285714285714289E-3</v>
      </c>
    </row>
    <row r="339" spans="1:12" x14ac:dyDescent="0.25">
      <c r="A339" s="27"/>
      <c r="B339" s="28"/>
      <c r="C339" s="29"/>
      <c r="D339" s="29"/>
      <c r="K339">
        <v>3.6285714285714289E-3</v>
      </c>
      <c r="L339">
        <v>3.6285714285714289E-3</v>
      </c>
    </row>
    <row r="340" spans="1:12" x14ac:dyDescent="0.25">
      <c r="A340" s="27"/>
      <c r="B340" s="28"/>
      <c r="C340" s="29"/>
      <c r="D340" s="29"/>
      <c r="K340">
        <v>3.6285714285714289E-3</v>
      </c>
      <c r="L340">
        <v>3.6285714285714289E-3</v>
      </c>
    </row>
    <row r="341" spans="1:12" x14ac:dyDescent="0.25">
      <c r="A341" s="27"/>
      <c r="B341" s="28"/>
      <c r="C341" s="29"/>
      <c r="D341" s="29"/>
      <c r="K341">
        <v>3.6285714285714289E-3</v>
      </c>
      <c r="L341">
        <v>3.6285714285714289E-3</v>
      </c>
    </row>
    <row r="342" spans="1:12" x14ac:dyDescent="0.25">
      <c r="A342" s="27"/>
      <c r="B342" s="28"/>
      <c r="C342" s="29"/>
      <c r="D342" s="29"/>
      <c r="K342">
        <v>3.6285714285714289E-3</v>
      </c>
      <c r="L342">
        <v>3.6285714285714289E-3</v>
      </c>
    </row>
    <row r="343" spans="1:12" x14ac:dyDescent="0.25">
      <c r="A343" s="27"/>
      <c r="B343" s="28"/>
      <c r="C343" s="29"/>
      <c r="D343" s="29"/>
      <c r="K343">
        <v>3.6285714285714289E-3</v>
      </c>
      <c r="L343">
        <v>3.6285714285714289E-3</v>
      </c>
    </row>
    <row r="344" spans="1:12" x14ac:dyDescent="0.25">
      <c r="A344" s="27"/>
      <c r="B344" s="28"/>
      <c r="C344" s="29"/>
      <c r="D344" s="29"/>
      <c r="K344">
        <v>3.6285714285714289E-3</v>
      </c>
      <c r="L344">
        <v>3.6285714285714289E-3</v>
      </c>
    </row>
    <row r="345" spans="1:12" x14ac:dyDescent="0.25">
      <c r="A345" s="27"/>
      <c r="B345" s="28"/>
      <c r="C345" s="29"/>
      <c r="D345" s="29"/>
      <c r="K345">
        <v>3.6285714285714289E-3</v>
      </c>
      <c r="L345">
        <v>3.6285714285714289E-3</v>
      </c>
    </row>
    <row r="346" spans="1:12" x14ac:dyDescent="0.25">
      <c r="A346" s="27"/>
      <c r="B346" s="28"/>
      <c r="C346" s="29"/>
      <c r="D346" s="29"/>
      <c r="K346">
        <v>3.6285714285714289E-3</v>
      </c>
      <c r="L346">
        <v>3.6285714285714289E-3</v>
      </c>
    </row>
    <row r="347" spans="1:12" x14ac:dyDescent="0.25">
      <c r="A347" s="27"/>
      <c r="B347" s="28"/>
      <c r="C347" s="29"/>
      <c r="D347" s="29"/>
      <c r="K347">
        <v>3.6285714285714289E-3</v>
      </c>
      <c r="L347">
        <v>3.6285714285714289E-3</v>
      </c>
    </row>
    <row r="348" spans="1:12" x14ac:dyDescent="0.25">
      <c r="A348" s="27"/>
      <c r="B348" s="28"/>
      <c r="C348" s="29"/>
      <c r="D348" s="29"/>
      <c r="K348">
        <v>3.6285714285714289E-3</v>
      </c>
      <c r="L348">
        <v>3.6285714285714289E-3</v>
      </c>
    </row>
    <row r="349" spans="1:12" x14ac:dyDescent="0.25">
      <c r="A349" s="27"/>
      <c r="B349" s="28"/>
      <c r="C349" s="29"/>
      <c r="D349" s="29"/>
      <c r="K349">
        <v>3.6285714285714289E-3</v>
      </c>
      <c r="L349">
        <v>3.6285714285714289E-3</v>
      </c>
    </row>
    <row r="350" spans="1:12" x14ac:dyDescent="0.25">
      <c r="A350" s="27"/>
      <c r="B350" s="28"/>
      <c r="C350" s="29"/>
      <c r="D350" s="29"/>
      <c r="K350">
        <v>3.080645161290323E-3</v>
      </c>
      <c r="L350">
        <v>3.6285714285714289E-3</v>
      </c>
    </row>
    <row r="351" spans="1:12" x14ac:dyDescent="0.25">
      <c r="A351" s="27"/>
      <c r="B351" s="28"/>
      <c r="C351" s="29"/>
      <c r="D351" s="29"/>
      <c r="K351">
        <v>3.080645161290323E-3</v>
      </c>
      <c r="L351">
        <v>3.6285714285714289E-3</v>
      </c>
    </row>
    <row r="352" spans="1:12" x14ac:dyDescent="0.25">
      <c r="A352" s="27"/>
      <c r="B352" s="28"/>
      <c r="C352" s="29"/>
      <c r="D352" s="29"/>
      <c r="K352">
        <v>3.080645161290323E-3</v>
      </c>
      <c r="L352">
        <v>3.6285714285714289E-3</v>
      </c>
    </row>
    <row r="353" spans="1:12" x14ac:dyDescent="0.25">
      <c r="A353" s="27"/>
      <c r="B353" s="28"/>
      <c r="C353" s="29"/>
      <c r="D353" s="29"/>
      <c r="K353">
        <v>3.080645161290323E-3</v>
      </c>
      <c r="L353">
        <v>3.6285714285714289E-3</v>
      </c>
    </row>
    <row r="354" spans="1:12" x14ac:dyDescent="0.25">
      <c r="A354" s="27"/>
      <c r="B354" s="28"/>
      <c r="C354" s="29"/>
      <c r="D354" s="29"/>
      <c r="K354">
        <v>3.080645161290323E-3</v>
      </c>
      <c r="L354">
        <v>3.6285714285714289E-3</v>
      </c>
    </row>
    <row r="355" spans="1:12" x14ac:dyDescent="0.25">
      <c r="A355" s="27"/>
      <c r="B355" s="28"/>
      <c r="C355" s="29"/>
      <c r="D355" s="29"/>
      <c r="K355">
        <v>3.080645161290323E-3</v>
      </c>
      <c r="L355">
        <v>3.6285714285714289E-3</v>
      </c>
    </row>
    <row r="356" spans="1:12" x14ac:dyDescent="0.25">
      <c r="A356" s="27"/>
      <c r="B356" s="28"/>
      <c r="C356" s="29"/>
      <c r="D356" s="29"/>
      <c r="K356">
        <v>3.080645161290323E-3</v>
      </c>
      <c r="L356">
        <v>3.6285714285714289E-3</v>
      </c>
    </row>
    <row r="357" spans="1:12" x14ac:dyDescent="0.25">
      <c r="A357" s="27"/>
      <c r="B357" s="28"/>
      <c r="C357" s="29"/>
      <c r="D357" s="29"/>
      <c r="K357">
        <v>3.080645161290323E-3</v>
      </c>
      <c r="L357">
        <v>3.6285714285714289E-3</v>
      </c>
    </row>
    <row r="358" spans="1:12" x14ac:dyDescent="0.25">
      <c r="A358" s="27"/>
      <c r="B358" s="28"/>
      <c r="C358" s="29"/>
      <c r="D358" s="29"/>
      <c r="K358">
        <v>3.080645161290323E-3</v>
      </c>
      <c r="L358">
        <v>3.6285714285714289E-3</v>
      </c>
    </row>
    <row r="359" spans="1:12" x14ac:dyDescent="0.25">
      <c r="A359" s="27"/>
      <c r="B359" s="28"/>
      <c r="C359" s="29"/>
      <c r="D359" s="29"/>
      <c r="K359">
        <v>3.080645161290323E-3</v>
      </c>
      <c r="L359">
        <v>3.6285714285714289E-3</v>
      </c>
    </row>
    <row r="360" spans="1:12" x14ac:dyDescent="0.25">
      <c r="A360" s="27"/>
      <c r="B360" s="28"/>
      <c r="C360" s="29"/>
      <c r="D360" s="29"/>
      <c r="K360">
        <v>3.080645161290323E-3</v>
      </c>
      <c r="L360">
        <v>3.6285714285714289E-3</v>
      </c>
    </row>
    <row r="361" spans="1:12" x14ac:dyDescent="0.25">
      <c r="A361" s="27"/>
      <c r="B361" s="28"/>
      <c r="C361" s="29"/>
      <c r="D361" s="29"/>
      <c r="K361">
        <v>3.080645161290323E-3</v>
      </c>
      <c r="L361">
        <v>3.6285714285714289E-3</v>
      </c>
    </row>
    <row r="362" spans="1:12" x14ac:dyDescent="0.25">
      <c r="A362" s="27"/>
      <c r="B362" s="28"/>
      <c r="C362" s="29"/>
      <c r="D362" s="29"/>
      <c r="K362">
        <v>3.080645161290323E-3</v>
      </c>
      <c r="L362">
        <v>3.6285714285714289E-3</v>
      </c>
    </row>
    <row r="363" spans="1:12" x14ac:dyDescent="0.25">
      <c r="A363" s="27"/>
      <c r="B363" s="28"/>
      <c r="C363" s="29"/>
      <c r="D363" s="29"/>
      <c r="K363">
        <v>3.080645161290323E-3</v>
      </c>
      <c r="L363">
        <v>3.080645161290323E-3</v>
      </c>
    </row>
    <row r="364" spans="1:12" x14ac:dyDescent="0.25">
      <c r="A364" s="27"/>
      <c r="B364" s="28"/>
      <c r="C364" s="29"/>
      <c r="D364" s="29"/>
      <c r="K364">
        <v>3.080645161290323E-3</v>
      </c>
      <c r="L364">
        <v>3.080645161290323E-3</v>
      </c>
    </row>
    <row r="365" spans="1:12" x14ac:dyDescent="0.25">
      <c r="A365" s="27"/>
      <c r="B365" s="28"/>
      <c r="C365" s="29"/>
      <c r="D365" s="29"/>
      <c r="K365">
        <v>3.080645161290323E-3</v>
      </c>
      <c r="L365">
        <v>3.080645161290323E-3</v>
      </c>
    </row>
    <row r="366" spans="1:12" x14ac:dyDescent="0.25">
      <c r="A366" s="27"/>
      <c r="B366" s="28"/>
      <c r="C366" s="29"/>
      <c r="D366" s="29"/>
      <c r="K366">
        <v>3.080645161290323E-3</v>
      </c>
      <c r="L366">
        <v>3.080645161290323E-3</v>
      </c>
    </row>
    <row r="367" spans="1:12" x14ac:dyDescent="0.25">
      <c r="A367" s="27"/>
      <c r="B367" s="28"/>
      <c r="C367" s="29"/>
      <c r="D367" s="29"/>
      <c r="K367">
        <v>3.080645161290323E-3</v>
      </c>
      <c r="L367">
        <v>3.080645161290323E-3</v>
      </c>
    </row>
    <row r="368" spans="1:12" x14ac:dyDescent="0.25">
      <c r="A368" s="27"/>
      <c r="B368" s="28"/>
      <c r="C368" s="29"/>
      <c r="D368" s="29"/>
      <c r="K368">
        <v>3.080645161290323E-3</v>
      </c>
      <c r="L368">
        <v>3.080645161290323E-3</v>
      </c>
    </row>
    <row r="369" spans="1:12" x14ac:dyDescent="0.25">
      <c r="A369" s="27"/>
      <c r="B369" s="28"/>
      <c r="C369" s="29"/>
      <c r="D369" s="29"/>
      <c r="K369">
        <v>3.080645161290323E-3</v>
      </c>
      <c r="L369">
        <v>3.080645161290323E-3</v>
      </c>
    </row>
    <row r="370" spans="1:12" x14ac:dyDescent="0.25">
      <c r="A370" s="27"/>
      <c r="B370" s="28"/>
      <c r="C370" s="29"/>
      <c r="D370" s="29"/>
      <c r="K370">
        <v>3.080645161290323E-3</v>
      </c>
      <c r="L370">
        <v>3.080645161290323E-3</v>
      </c>
    </row>
    <row r="371" spans="1:12" x14ac:dyDescent="0.25">
      <c r="A371" s="27"/>
      <c r="B371" s="28"/>
      <c r="C371" s="29"/>
      <c r="D371" s="29"/>
      <c r="K371">
        <v>3.080645161290323E-3</v>
      </c>
      <c r="L371">
        <v>3.080645161290323E-3</v>
      </c>
    </row>
    <row r="372" spans="1:12" x14ac:dyDescent="0.25">
      <c r="A372" s="27"/>
      <c r="B372" s="28"/>
      <c r="C372" s="29"/>
      <c r="D372" s="29"/>
      <c r="K372">
        <v>3.080645161290323E-3</v>
      </c>
      <c r="L372">
        <v>3.080645161290323E-3</v>
      </c>
    </row>
    <row r="373" spans="1:12" x14ac:dyDescent="0.25">
      <c r="A373" s="27"/>
      <c r="B373" s="28"/>
      <c r="C373" s="29"/>
      <c r="D373" s="29"/>
      <c r="K373">
        <v>3.080645161290323E-3</v>
      </c>
      <c r="L373">
        <v>3.080645161290323E-3</v>
      </c>
    </row>
    <row r="374" spans="1:12" x14ac:dyDescent="0.25">
      <c r="A374" s="27"/>
      <c r="B374" s="28"/>
      <c r="C374" s="29"/>
      <c r="D374" s="29"/>
      <c r="K374">
        <v>3.080645161290323E-3</v>
      </c>
      <c r="L374">
        <v>3.080645161290323E-3</v>
      </c>
    </row>
    <row r="375" spans="1:12" x14ac:dyDescent="0.25">
      <c r="A375" s="27"/>
      <c r="B375" s="28"/>
      <c r="C375" s="29"/>
      <c r="D375" s="29"/>
      <c r="K375">
        <v>3.080645161290323E-3</v>
      </c>
      <c r="L375">
        <v>3.080645161290323E-3</v>
      </c>
    </row>
    <row r="376" spans="1:12" x14ac:dyDescent="0.25">
      <c r="A376" s="27"/>
      <c r="B376" s="28"/>
      <c r="C376" s="29"/>
      <c r="D376" s="29"/>
      <c r="K376">
        <v>3.080645161290323E-3</v>
      </c>
      <c r="L376">
        <v>3.080645161290323E-3</v>
      </c>
    </row>
    <row r="377" spans="1:12" x14ac:dyDescent="0.25">
      <c r="A377" s="27"/>
      <c r="B377" s="28"/>
      <c r="C377" s="29"/>
      <c r="D377" s="29"/>
      <c r="K377">
        <v>3.080645161290323E-3</v>
      </c>
      <c r="L377">
        <v>3.080645161290323E-3</v>
      </c>
    </row>
    <row r="378" spans="1:12" x14ac:dyDescent="0.25">
      <c r="A378" s="27"/>
      <c r="B378" s="28"/>
      <c r="C378" s="29"/>
      <c r="D378" s="29"/>
      <c r="K378">
        <v>3.080645161290323E-3</v>
      </c>
      <c r="L378">
        <v>3.080645161290323E-3</v>
      </c>
    </row>
    <row r="379" spans="1:12" x14ac:dyDescent="0.25">
      <c r="A379" s="27"/>
      <c r="B379" s="28"/>
      <c r="C379" s="29"/>
      <c r="D379" s="29"/>
      <c r="K379">
        <v>3.080645161290323E-3</v>
      </c>
      <c r="L379">
        <v>3.080645161290323E-3</v>
      </c>
    </row>
    <row r="380" spans="1:12" x14ac:dyDescent="0.25">
      <c r="A380" s="27"/>
      <c r="B380" s="28"/>
      <c r="C380" s="29"/>
      <c r="D380" s="29"/>
      <c r="K380">
        <v>3.080645161290323E-3</v>
      </c>
      <c r="L380">
        <v>3.080645161290323E-3</v>
      </c>
    </row>
    <row r="381" spans="1:12" x14ac:dyDescent="0.25">
      <c r="A381" s="27"/>
      <c r="B381" s="28"/>
      <c r="C381" s="29"/>
      <c r="D381" s="29"/>
      <c r="K381">
        <v>3.889655172413793E-3</v>
      </c>
      <c r="L381">
        <v>3.080645161290323E-3</v>
      </c>
    </row>
    <row r="382" spans="1:12" x14ac:dyDescent="0.25">
      <c r="A382" s="27"/>
      <c r="B382" s="28"/>
      <c r="C382" s="29"/>
      <c r="D382" s="29"/>
      <c r="K382">
        <v>3.889655172413793E-3</v>
      </c>
      <c r="L382">
        <v>3.080645161290323E-3</v>
      </c>
    </row>
    <row r="383" spans="1:12" x14ac:dyDescent="0.25">
      <c r="A383" s="27"/>
      <c r="B383" s="28"/>
      <c r="C383" s="29"/>
      <c r="D383" s="29"/>
      <c r="K383">
        <v>3.889655172413793E-3</v>
      </c>
      <c r="L383">
        <v>3.080645161290323E-3</v>
      </c>
    </row>
    <row r="384" spans="1:12" x14ac:dyDescent="0.25">
      <c r="A384" s="27"/>
      <c r="B384" s="28"/>
      <c r="C384" s="29"/>
      <c r="D384" s="29"/>
      <c r="K384">
        <v>3.889655172413793E-3</v>
      </c>
      <c r="L384">
        <v>3.080645161290323E-3</v>
      </c>
    </row>
    <row r="385" spans="1:12" x14ac:dyDescent="0.25">
      <c r="A385" s="27"/>
      <c r="B385" s="28"/>
      <c r="C385" s="29"/>
      <c r="D385" s="29"/>
      <c r="K385">
        <v>3.889655172413793E-3</v>
      </c>
      <c r="L385">
        <v>3.080645161290323E-3</v>
      </c>
    </row>
    <row r="386" spans="1:12" x14ac:dyDescent="0.25">
      <c r="A386" s="27"/>
      <c r="B386" s="28"/>
      <c r="C386" s="29"/>
      <c r="D386" s="29"/>
      <c r="K386">
        <v>3.889655172413793E-3</v>
      </c>
      <c r="L386">
        <v>3.080645161290323E-3</v>
      </c>
    </row>
    <row r="387" spans="1:12" x14ac:dyDescent="0.25">
      <c r="A387" s="27"/>
      <c r="B387" s="28"/>
      <c r="C387" s="29"/>
      <c r="D387" s="29"/>
      <c r="K387">
        <v>3.889655172413793E-3</v>
      </c>
      <c r="L387">
        <v>3.080645161290323E-3</v>
      </c>
    </row>
    <row r="388" spans="1:12" x14ac:dyDescent="0.25">
      <c r="A388" s="27"/>
      <c r="B388" s="28"/>
      <c r="C388" s="29"/>
      <c r="D388" s="29"/>
      <c r="K388">
        <v>3.889655172413793E-3</v>
      </c>
      <c r="L388">
        <v>3.080645161290323E-3</v>
      </c>
    </row>
    <row r="389" spans="1:12" x14ac:dyDescent="0.25">
      <c r="A389" s="27"/>
      <c r="B389" s="28"/>
      <c r="C389" s="29"/>
      <c r="D389" s="29"/>
      <c r="K389">
        <v>3.889655172413793E-3</v>
      </c>
      <c r="L389">
        <v>3.080645161290323E-3</v>
      </c>
    </row>
    <row r="390" spans="1:12" x14ac:dyDescent="0.25">
      <c r="A390" s="27"/>
      <c r="B390" s="28"/>
      <c r="C390" s="29"/>
      <c r="D390" s="29"/>
      <c r="K390">
        <v>3.889655172413793E-3</v>
      </c>
      <c r="L390">
        <v>3.080645161290323E-3</v>
      </c>
    </row>
    <row r="391" spans="1:12" x14ac:dyDescent="0.25">
      <c r="A391" s="27"/>
      <c r="B391" s="28"/>
      <c r="C391" s="29"/>
      <c r="D391" s="29"/>
      <c r="K391">
        <v>3.889655172413793E-3</v>
      </c>
      <c r="L391">
        <v>3.080645161290323E-3</v>
      </c>
    </row>
    <row r="392" spans="1:12" x14ac:dyDescent="0.25">
      <c r="A392" s="27"/>
      <c r="B392" s="28"/>
      <c r="C392" s="29"/>
      <c r="D392" s="29"/>
      <c r="K392">
        <v>3.889655172413793E-3</v>
      </c>
      <c r="L392">
        <v>3.080645161290323E-3</v>
      </c>
    </row>
    <row r="393" spans="1:12" x14ac:dyDescent="0.25">
      <c r="A393" s="27"/>
      <c r="B393" s="28"/>
      <c r="C393" s="29"/>
      <c r="D393" s="29"/>
      <c r="K393">
        <v>3.889655172413793E-3</v>
      </c>
      <c r="L393">
        <v>3.080645161290323E-3</v>
      </c>
    </row>
    <row r="394" spans="1:12" x14ac:dyDescent="0.25">
      <c r="A394" s="27"/>
      <c r="B394" s="28"/>
      <c r="C394" s="29"/>
      <c r="D394" s="29"/>
      <c r="K394">
        <v>3.889655172413793E-3</v>
      </c>
      <c r="L394">
        <v>3.889655172413793E-3</v>
      </c>
    </row>
    <row r="395" spans="1:12" x14ac:dyDescent="0.25">
      <c r="A395" s="27"/>
      <c r="B395" s="28"/>
      <c r="C395" s="29"/>
      <c r="D395" s="29"/>
      <c r="K395">
        <v>3.889655172413793E-3</v>
      </c>
      <c r="L395">
        <v>3.889655172413793E-3</v>
      </c>
    </row>
    <row r="396" spans="1:12" x14ac:dyDescent="0.25">
      <c r="A396" s="27"/>
      <c r="B396" s="28"/>
      <c r="C396" s="29"/>
      <c r="D396" s="29"/>
      <c r="K396">
        <v>3.889655172413793E-3</v>
      </c>
      <c r="L396">
        <v>3.889655172413793E-3</v>
      </c>
    </row>
    <row r="397" spans="1:12" x14ac:dyDescent="0.25">
      <c r="A397" s="27"/>
      <c r="B397" s="28"/>
      <c r="C397" s="29"/>
      <c r="D397" s="29"/>
      <c r="K397">
        <v>3.889655172413793E-3</v>
      </c>
      <c r="L397">
        <v>3.889655172413793E-3</v>
      </c>
    </row>
    <row r="398" spans="1:12" x14ac:dyDescent="0.25">
      <c r="A398" s="27"/>
      <c r="B398" s="28"/>
      <c r="C398" s="29"/>
      <c r="D398" s="29"/>
      <c r="K398">
        <v>3.889655172413793E-3</v>
      </c>
      <c r="L398">
        <v>3.889655172413793E-3</v>
      </c>
    </row>
    <row r="399" spans="1:12" x14ac:dyDescent="0.25">
      <c r="A399" s="27"/>
      <c r="B399" s="28"/>
      <c r="C399" s="29"/>
      <c r="D399" s="29"/>
      <c r="K399">
        <v>3.889655172413793E-3</v>
      </c>
      <c r="L399">
        <v>3.889655172413793E-3</v>
      </c>
    </row>
    <row r="400" spans="1:12" x14ac:dyDescent="0.25">
      <c r="A400" s="27"/>
      <c r="B400" s="28"/>
      <c r="C400" s="29"/>
      <c r="D400" s="29"/>
      <c r="K400">
        <v>3.889655172413793E-3</v>
      </c>
      <c r="L400">
        <v>3.889655172413793E-3</v>
      </c>
    </row>
    <row r="401" spans="1:12" x14ac:dyDescent="0.25">
      <c r="A401" s="27"/>
      <c r="B401" s="28"/>
      <c r="C401" s="29"/>
      <c r="D401" s="29"/>
      <c r="K401">
        <v>3.889655172413793E-3</v>
      </c>
      <c r="L401">
        <v>3.889655172413793E-3</v>
      </c>
    </row>
    <row r="402" spans="1:12" x14ac:dyDescent="0.25">
      <c r="A402" s="27"/>
      <c r="B402" s="28"/>
      <c r="C402" s="29"/>
      <c r="D402" s="29"/>
      <c r="K402">
        <v>3.889655172413793E-3</v>
      </c>
      <c r="L402">
        <v>3.889655172413793E-3</v>
      </c>
    </row>
    <row r="403" spans="1:12" x14ac:dyDescent="0.25">
      <c r="A403" s="27"/>
      <c r="B403" s="28"/>
      <c r="C403" s="29"/>
      <c r="D403" s="29"/>
      <c r="K403">
        <v>3.889655172413793E-3</v>
      </c>
      <c r="L403">
        <v>0</v>
      </c>
    </row>
    <row r="404" spans="1:12" x14ac:dyDescent="0.25">
      <c r="A404" s="27"/>
      <c r="B404" s="28"/>
      <c r="C404" s="29"/>
      <c r="D404" s="29"/>
      <c r="K404">
        <v>3.889655172413793E-3</v>
      </c>
      <c r="L404">
        <v>3.889655172413793E-3</v>
      </c>
    </row>
    <row r="405" spans="1:12" x14ac:dyDescent="0.25">
      <c r="A405" s="27"/>
      <c r="B405" s="28"/>
      <c r="C405" s="29"/>
      <c r="D405" s="29"/>
      <c r="K405">
        <v>3.889655172413793E-3</v>
      </c>
      <c r="L405">
        <v>3.889655172413793E-3</v>
      </c>
    </row>
    <row r="406" spans="1:12" x14ac:dyDescent="0.25">
      <c r="A406" s="27"/>
      <c r="B406" s="28"/>
      <c r="C406" s="29"/>
      <c r="D406" s="29"/>
      <c r="K406">
        <v>3.889655172413793E-3</v>
      </c>
      <c r="L406">
        <v>3.889655172413793E-3</v>
      </c>
    </row>
    <row r="407" spans="1:12" x14ac:dyDescent="0.25">
      <c r="A407" s="27"/>
      <c r="B407" s="28"/>
      <c r="C407" s="29"/>
      <c r="D407" s="29"/>
      <c r="K407">
        <v>3.889655172413793E-3</v>
      </c>
      <c r="L407">
        <v>3.889655172413793E-3</v>
      </c>
    </row>
    <row r="408" spans="1:12" x14ac:dyDescent="0.25">
      <c r="A408" s="27"/>
      <c r="B408" s="28"/>
      <c r="C408" s="29"/>
      <c r="D408" s="29"/>
      <c r="K408">
        <v>3.889655172413793E-3</v>
      </c>
      <c r="L408">
        <v>3.889655172413793E-3</v>
      </c>
    </row>
    <row r="409" spans="1:12" x14ac:dyDescent="0.25">
      <c r="A409" s="27"/>
      <c r="B409" s="28"/>
      <c r="C409" s="29"/>
      <c r="D409" s="29"/>
      <c r="K409">
        <v>3.889655172413793E-3</v>
      </c>
      <c r="L409">
        <v>3.889655172413793E-3</v>
      </c>
    </row>
    <row r="410" spans="1:12" x14ac:dyDescent="0.25">
      <c r="A410" s="27"/>
      <c r="B410" s="28"/>
      <c r="C410" s="29"/>
      <c r="D410" s="29"/>
      <c r="K410">
        <v>3.2387096774193548E-3</v>
      </c>
      <c r="L410">
        <v>3.889655172413793E-3</v>
      </c>
    </row>
    <row r="411" spans="1:12" x14ac:dyDescent="0.25">
      <c r="A411" s="27"/>
      <c r="B411" s="28"/>
      <c r="C411" s="29"/>
      <c r="D411" s="29"/>
      <c r="K411">
        <v>3.2387096774193548E-3</v>
      </c>
      <c r="L411">
        <v>3.889655172413793E-3</v>
      </c>
    </row>
    <row r="412" spans="1:12" x14ac:dyDescent="0.25">
      <c r="A412" s="27"/>
      <c r="B412" s="28"/>
      <c r="C412" s="29"/>
      <c r="D412" s="29"/>
      <c r="K412">
        <v>3.2387096774193548E-3</v>
      </c>
      <c r="L412">
        <v>3.889655172413793E-3</v>
      </c>
    </row>
    <row r="413" spans="1:12" x14ac:dyDescent="0.25">
      <c r="A413" s="27"/>
      <c r="B413" s="28"/>
      <c r="C413" s="29"/>
      <c r="D413" s="29"/>
      <c r="K413">
        <v>3.2387096774193548E-3</v>
      </c>
      <c r="L413">
        <v>3.889655172413793E-3</v>
      </c>
    </row>
    <row r="414" spans="1:12" x14ac:dyDescent="0.25">
      <c r="A414" s="27"/>
      <c r="B414" s="28"/>
      <c r="C414" s="29"/>
      <c r="D414" s="29"/>
      <c r="K414">
        <v>3.2387096774193548E-3</v>
      </c>
      <c r="L414">
        <v>3.889655172413793E-3</v>
      </c>
    </row>
    <row r="415" spans="1:12" x14ac:dyDescent="0.25">
      <c r="A415" s="27"/>
      <c r="B415" s="28"/>
      <c r="C415" s="29"/>
      <c r="D415" s="29"/>
      <c r="K415">
        <v>3.2387096774193548E-3</v>
      </c>
      <c r="L415">
        <v>3.889655172413793E-3</v>
      </c>
    </row>
    <row r="416" spans="1:12" x14ac:dyDescent="0.25">
      <c r="A416" s="27"/>
      <c r="B416" s="28"/>
      <c r="C416" s="29"/>
      <c r="D416" s="29"/>
      <c r="K416">
        <v>3.2387096774193548E-3</v>
      </c>
      <c r="L416">
        <v>3.889655172413793E-3</v>
      </c>
    </row>
    <row r="417" spans="1:12" x14ac:dyDescent="0.25">
      <c r="A417" s="27"/>
      <c r="B417" s="28"/>
      <c r="C417" s="29"/>
      <c r="D417" s="29"/>
      <c r="K417">
        <v>3.2387096774193548E-3</v>
      </c>
      <c r="L417">
        <v>3.889655172413793E-3</v>
      </c>
    </row>
    <row r="418" spans="1:12" x14ac:dyDescent="0.25">
      <c r="A418" s="27"/>
      <c r="B418" s="28"/>
      <c r="C418" s="29"/>
      <c r="D418" s="29"/>
      <c r="K418">
        <v>3.2387096774193548E-3</v>
      </c>
      <c r="L418">
        <v>3.889655172413793E-3</v>
      </c>
    </row>
    <row r="419" spans="1:12" x14ac:dyDescent="0.25">
      <c r="A419" s="27"/>
      <c r="B419" s="28"/>
      <c r="C419" s="29"/>
      <c r="D419" s="29"/>
      <c r="K419">
        <v>3.2387096774193548E-3</v>
      </c>
      <c r="L419">
        <v>3.889655172413793E-3</v>
      </c>
    </row>
    <row r="420" spans="1:12" x14ac:dyDescent="0.25">
      <c r="A420" s="27"/>
      <c r="B420" s="28"/>
      <c r="C420" s="29"/>
      <c r="D420" s="29"/>
      <c r="K420">
        <v>3.2387096774193548E-3</v>
      </c>
      <c r="L420">
        <v>3.889655172413793E-3</v>
      </c>
    </row>
    <row r="421" spans="1:12" x14ac:dyDescent="0.25">
      <c r="A421" s="27"/>
      <c r="B421" s="28"/>
      <c r="C421" s="29"/>
      <c r="D421" s="29"/>
      <c r="K421">
        <v>3.2387096774193548E-3</v>
      </c>
      <c r="L421">
        <v>3.889655172413793E-3</v>
      </c>
    </row>
    <row r="422" spans="1:12" x14ac:dyDescent="0.25">
      <c r="A422" s="27"/>
      <c r="B422" s="28"/>
      <c r="C422" s="29"/>
      <c r="D422" s="29"/>
      <c r="K422">
        <v>3.2387096774193548E-3</v>
      </c>
      <c r="L422">
        <v>3.889655172413793E-3</v>
      </c>
    </row>
    <row r="423" spans="1:12" x14ac:dyDescent="0.25">
      <c r="A423" s="27"/>
      <c r="B423" s="28"/>
      <c r="C423" s="29"/>
      <c r="D423" s="29"/>
      <c r="K423">
        <v>3.2387096774193548E-3</v>
      </c>
      <c r="L423">
        <v>3.889655172413793E-3</v>
      </c>
    </row>
    <row r="424" spans="1:12" x14ac:dyDescent="0.25">
      <c r="A424" s="27"/>
      <c r="B424" s="28"/>
      <c r="C424" s="29"/>
      <c r="D424" s="29"/>
      <c r="K424">
        <v>3.2387096774193548E-3</v>
      </c>
      <c r="L424">
        <v>3.2387096774193548E-3</v>
      </c>
    </row>
    <row r="425" spans="1:12" x14ac:dyDescent="0.25">
      <c r="A425" s="27"/>
      <c r="B425" s="28"/>
      <c r="C425" s="29"/>
      <c r="D425" s="29"/>
      <c r="K425">
        <v>3.2387096774193548E-3</v>
      </c>
      <c r="L425">
        <v>3.2387096774193548E-3</v>
      </c>
    </row>
    <row r="426" spans="1:12" x14ac:dyDescent="0.25">
      <c r="A426" s="27"/>
      <c r="B426" s="28"/>
      <c r="C426" s="29"/>
      <c r="D426" s="29"/>
      <c r="K426">
        <v>3.2387096774193548E-3</v>
      </c>
      <c r="L426">
        <v>3.2387096774193548E-3</v>
      </c>
    </row>
    <row r="427" spans="1:12" x14ac:dyDescent="0.25">
      <c r="A427" s="27"/>
      <c r="B427" s="28"/>
      <c r="C427" s="29"/>
      <c r="D427" s="29"/>
      <c r="K427">
        <v>3.2387096774193548E-3</v>
      </c>
      <c r="L427">
        <v>3.2387096774193548E-3</v>
      </c>
    </row>
    <row r="428" spans="1:12" x14ac:dyDescent="0.25">
      <c r="A428" s="27"/>
      <c r="B428" s="28"/>
      <c r="C428" s="29"/>
      <c r="D428" s="29"/>
      <c r="K428">
        <v>3.2387096774193548E-3</v>
      </c>
      <c r="L428">
        <v>3.2387096774193548E-3</v>
      </c>
    </row>
    <row r="429" spans="1:12" x14ac:dyDescent="0.25">
      <c r="A429" s="27"/>
      <c r="B429" s="28"/>
      <c r="C429" s="29"/>
      <c r="D429" s="29"/>
      <c r="K429">
        <v>3.2387096774193548E-3</v>
      </c>
      <c r="L429">
        <v>3.2387096774193548E-3</v>
      </c>
    </row>
    <row r="430" spans="1:12" x14ac:dyDescent="0.25">
      <c r="A430" s="27"/>
      <c r="B430" s="28"/>
      <c r="C430" s="29"/>
      <c r="D430" s="29"/>
      <c r="K430">
        <v>3.2387096774193548E-3</v>
      </c>
      <c r="L430">
        <v>3.2387096774193548E-3</v>
      </c>
    </row>
    <row r="431" spans="1:12" x14ac:dyDescent="0.25">
      <c r="A431" s="27"/>
      <c r="B431" s="28"/>
      <c r="C431" s="29"/>
      <c r="D431" s="29"/>
      <c r="K431">
        <v>3.2387096774193548E-3</v>
      </c>
      <c r="L431">
        <v>3.2387096774193548E-3</v>
      </c>
    </row>
    <row r="432" spans="1:12" x14ac:dyDescent="0.25">
      <c r="A432" s="27"/>
      <c r="B432" s="28"/>
      <c r="C432" s="29"/>
      <c r="D432" s="29"/>
      <c r="K432">
        <v>3.2387096774193548E-3</v>
      </c>
      <c r="L432">
        <v>3.2387096774193548E-3</v>
      </c>
    </row>
    <row r="433" spans="1:12" x14ac:dyDescent="0.25">
      <c r="A433" s="27"/>
      <c r="B433" s="28"/>
      <c r="C433" s="29"/>
      <c r="D433" s="29"/>
      <c r="K433">
        <v>3.2387096774193548E-3</v>
      </c>
      <c r="L433">
        <v>3.2387096774193548E-3</v>
      </c>
    </row>
    <row r="434" spans="1:12" x14ac:dyDescent="0.25">
      <c r="A434" s="27"/>
      <c r="B434" s="28"/>
      <c r="C434" s="29"/>
      <c r="D434" s="29"/>
      <c r="K434">
        <v>3.2387096774193548E-3</v>
      </c>
      <c r="L434">
        <v>3.2387096774193548E-3</v>
      </c>
    </row>
    <row r="435" spans="1:12" x14ac:dyDescent="0.25">
      <c r="A435" s="27"/>
      <c r="B435" s="28"/>
      <c r="C435" s="29"/>
      <c r="D435" s="29"/>
      <c r="K435">
        <v>3.2387096774193548E-3</v>
      </c>
      <c r="L435">
        <v>3.2387096774193548E-3</v>
      </c>
    </row>
    <row r="436" spans="1:12" x14ac:dyDescent="0.25">
      <c r="A436" s="27"/>
      <c r="B436" s="28"/>
      <c r="C436" s="29"/>
      <c r="D436" s="29"/>
      <c r="K436">
        <v>3.2387096774193548E-3</v>
      </c>
      <c r="L436">
        <v>3.2387096774193548E-3</v>
      </c>
    </row>
    <row r="437" spans="1:12" x14ac:dyDescent="0.25">
      <c r="A437" s="27"/>
      <c r="B437" s="28"/>
      <c r="C437" s="29"/>
      <c r="D437" s="29"/>
      <c r="K437">
        <v>3.2387096774193548E-3</v>
      </c>
      <c r="L437">
        <v>3.2387096774193548E-3</v>
      </c>
    </row>
    <row r="438" spans="1:12" x14ac:dyDescent="0.25">
      <c r="A438" s="27"/>
      <c r="B438" s="28"/>
      <c r="C438" s="29"/>
      <c r="D438" s="29"/>
      <c r="K438">
        <v>3.2387096774193548E-3</v>
      </c>
      <c r="L438">
        <v>3.2387096774193548E-3</v>
      </c>
    </row>
    <row r="439" spans="1:12" x14ac:dyDescent="0.25">
      <c r="A439" s="27"/>
      <c r="B439" s="28"/>
      <c r="C439" s="29"/>
      <c r="D439" s="29"/>
      <c r="K439">
        <v>3.2387096774193548E-3</v>
      </c>
      <c r="L439">
        <v>3.2387096774193548E-3</v>
      </c>
    </row>
    <row r="440" spans="1:12" x14ac:dyDescent="0.25">
      <c r="A440" s="27"/>
      <c r="B440" s="28"/>
      <c r="C440" s="29"/>
      <c r="D440" s="29"/>
      <c r="K440">
        <v>3.2387096774193548E-3</v>
      </c>
      <c r="L440">
        <v>3.2387096774193548E-3</v>
      </c>
    </row>
    <row r="441" spans="1:12" x14ac:dyDescent="0.25">
      <c r="A441" s="27"/>
      <c r="B441" s="28"/>
      <c r="C441" s="29"/>
      <c r="D441" s="29"/>
      <c r="K441">
        <v>2.5800000000000003E-3</v>
      </c>
      <c r="L441">
        <v>3.2387096774193548E-3</v>
      </c>
    </row>
    <row r="442" spans="1:12" x14ac:dyDescent="0.25">
      <c r="A442" s="27"/>
      <c r="B442" s="28"/>
      <c r="C442" s="29"/>
      <c r="D442" s="29"/>
      <c r="K442">
        <v>2.5800000000000003E-3</v>
      </c>
      <c r="L442">
        <v>3.2387096774193548E-3</v>
      </c>
    </row>
    <row r="443" spans="1:12" x14ac:dyDescent="0.25">
      <c r="A443" s="27"/>
      <c r="B443" s="28"/>
      <c r="C443" s="29"/>
      <c r="D443" s="29"/>
      <c r="K443">
        <v>2.5800000000000003E-3</v>
      </c>
      <c r="L443">
        <v>3.2387096774193548E-3</v>
      </c>
    </row>
    <row r="444" spans="1:12" x14ac:dyDescent="0.25">
      <c r="A444" s="27"/>
      <c r="B444" s="28"/>
      <c r="C444" s="29"/>
      <c r="D444" s="29"/>
      <c r="K444">
        <v>2.5800000000000003E-3</v>
      </c>
      <c r="L444">
        <v>3.2387096774193548E-3</v>
      </c>
    </row>
    <row r="445" spans="1:12" x14ac:dyDescent="0.25">
      <c r="A445" s="27"/>
      <c r="B445" s="28"/>
      <c r="C445" s="29"/>
      <c r="D445" s="29"/>
      <c r="K445">
        <v>2.5800000000000003E-3</v>
      </c>
      <c r="L445">
        <v>3.2387096774193548E-3</v>
      </c>
    </row>
    <row r="446" spans="1:12" x14ac:dyDescent="0.25">
      <c r="A446" s="27"/>
      <c r="B446" s="28"/>
      <c r="C446" s="29"/>
      <c r="D446" s="29"/>
      <c r="K446">
        <v>2.5800000000000003E-3</v>
      </c>
      <c r="L446">
        <v>3.2387096774193548E-3</v>
      </c>
    </row>
    <row r="447" spans="1:12" x14ac:dyDescent="0.25">
      <c r="A447" s="27"/>
      <c r="B447" s="28"/>
      <c r="C447" s="29"/>
      <c r="D447" s="29"/>
      <c r="K447">
        <v>2.5800000000000003E-3</v>
      </c>
      <c r="L447">
        <v>3.2387096774193548E-3</v>
      </c>
    </row>
    <row r="448" spans="1:12" x14ac:dyDescent="0.25">
      <c r="A448" s="27"/>
      <c r="B448" s="28"/>
      <c r="C448" s="29"/>
      <c r="D448" s="29"/>
      <c r="K448">
        <v>2.5800000000000003E-3</v>
      </c>
      <c r="L448">
        <v>3.2387096774193548E-3</v>
      </c>
    </row>
    <row r="449" spans="1:12" x14ac:dyDescent="0.25">
      <c r="A449" s="27"/>
      <c r="B449" s="28"/>
      <c r="C449" s="29"/>
      <c r="D449" s="29"/>
      <c r="K449">
        <v>2.5800000000000003E-3</v>
      </c>
      <c r="L449">
        <v>3.2387096774193548E-3</v>
      </c>
    </row>
    <row r="450" spans="1:12" x14ac:dyDescent="0.25">
      <c r="A450" s="27"/>
      <c r="B450" s="28"/>
      <c r="C450" s="29"/>
      <c r="D450" s="29"/>
      <c r="K450">
        <v>2.5800000000000003E-3</v>
      </c>
      <c r="L450">
        <v>3.2387096774193548E-3</v>
      </c>
    </row>
    <row r="451" spans="1:12" x14ac:dyDescent="0.25">
      <c r="A451" s="27"/>
      <c r="B451" s="28"/>
      <c r="C451" s="29"/>
      <c r="D451" s="29"/>
      <c r="L451">
        <v>3.2387096774193548E-3</v>
      </c>
    </row>
    <row r="452" spans="1:12" x14ac:dyDescent="0.25">
      <c r="A452" s="27"/>
      <c r="B452" s="28"/>
      <c r="C452" s="29"/>
      <c r="D452" s="29"/>
      <c r="L452">
        <v>3.2387096774193548E-3</v>
      </c>
    </row>
    <row r="453" spans="1:12" x14ac:dyDescent="0.25">
      <c r="A453" s="27"/>
      <c r="B453" s="28"/>
      <c r="C453" s="29"/>
      <c r="D453" s="29"/>
      <c r="L453">
        <v>3.2387096774193548E-3</v>
      </c>
    </row>
    <row r="454" spans="1:12" x14ac:dyDescent="0.25">
      <c r="A454" s="27"/>
      <c r="B454" s="28"/>
      <c r="C454" s="29"/>
      <c r="D454" s="29"/>
      <c r="L454">
        <v>3.2387096774193548E-3</v>
      </c>
    </row>
    <row r="455" spans="1:12" x14ac:dyDescent="0.25">
      <c r="A455" s="27"/>
      <c r="B455" s="28"/>
      <c r="C455" s="29"/>
      <c r="D455" s="29"/>
      <c r="L455">
        <v>2.5800000000000003E-3</v>
      </c>
    </row>
    <row r="456" spans="1:12" x14ac:dyDescent="0.25">
      <c r="A456" s="27"/>
      <c r="B456" s="28"/>
      <c r="C456" s="29"/>
      <c r="D456" s="29"/>
      <c r="L456">
        <v>2.5800000000000003E-3</v>
      </c>
    </row>
    <row r="457" spans="1:12" x14ac:dyDescent="0.25">
      <c r="A457" s="27"/>
      <c r="B457" s="28"/>
      <c r="C457" s="29"/>
      <c r="D457" s="29"/>
      <c r="L457">
        <v>2.5800000000000003E-3</v>
      </c>
    </row>
    <row r="458" spans="1:12" x14ac:dyDescent="0.25">
      <c r="A458" s="27"/>
      <c r="B458" s="28"/>
      <c r="C458" s="29"/>
      <c r="D458" s="29"/>
      <c r="L458">
        <v>2.5800000000000003E-3</v>
      </c>
    </row>
    <row r="459" spans="1:12" x14ac:dyDescent="0.25">
      <c r="A459" s="27"/>
      <c r="B459" s="28"/>
      <c r="C459" s="29"/>
      <c r="D459" s="29"/>
      <c r="L459">
        <v>2.5800000000000003E-3</v>
      </c>
    </row>
    <row r="460" spans="1:12" x14ac:dyDescent="0.25">
      <c r="A460" s="27"/>
      <c r="B460" s="28"/>
      <c r="C460" s="29"/>
      <c r="D460" s="29"/>
      <c r="L460">
        <v>2.5800000000000003E-3</v>
      </c>
    </row>
    <row r="461" spans="1:12" x14ac:dyDescent="0.25">
      <c r="A461" s="27"/>
      <c r="B461" s="28"/>
      <c r="C461" s="29"/>
      <c r="D461" s="29"/>
      <c r="L461">
        <v>2.5800000000000003E-3</v>
      </c>
    </row>
    <row r="462" spans="1:12" x14ac:dyDescent="0.25">
      <c r="A462" s="27"/>
      <c r="B462" s="28"/>
      <c r="C462" s="29"/>
      <c r="D462" s="29"/>
      <c r="L462">
        <v>2.5800000000000003E-3</v>
      </c>
    </row>
    <row r="463" spans="1:12" x14ac:dyDescent="0.25">
      <c r="A463" s="27"/>
      <c r="B463" s="28"/>
      <c r="C463" s="29"/>
      <c r="D463" s="29"/>
      <c r="L463">
        <v>2.5800000000000003E-3</v>
      </c>
    </row>
    <row r="464" spans="1:12" x14ac:dyDescent="0.25">
      <c r="A464" s="27"/>
      <c r="B464" s="28"/>
      <c r="C464" s="29"/>
      <c r="D464" s="29"/>
      <c r="L464">
        <v>2.5800000000000003E-3</v>
      </c>
    </row>
    <row r="465" spans="1:4" x14ac:dyDescent="0.25">
      <c r="A465" s="27"/>
      <c r="B465" s="28"/>
      <c r="C465" s="29"/>
      <c r="D465" s="29"/>
    </row>
    <row r="466" spans="1:4" x14ac:dyDescent="0.25">
      <c r="A466" s="27"/>
      <c r="B466" s="28"/>
      <c r="C466" s="29"/>
      <c r="D466" s="29"/>
    </row>
    <row r="467" spans="1:4" x14ac:dyDescent="0.25">
      <c r="A467" s="27"/>
      <c r="B467" s="28"/>
      <c r="C467" s="29"/>
      <c r="D467" s="29"/>
    </row>
    <row r="468" spans="1:4" x14ac:dyDescent="0.25">
      <c r="A468" s="27"/>
      <c r="B468" s="28"/>
      <c r="C468" s="29"/>
      <c r="D468" s="29"/>
    </row>
    <row r="469" spans="1:4" x14ac:dyDescent="0.25">
      <c r="A469" s="27"/>
      <c r="B469" s="28"/>
      <c r="C469" s="29"/>
      <c r="D469" s="29"/>
    </row>
    <row r="470" spans="1:4" x14ac:dyDescent="0.25">
      <c r="A470" s="27"/>
      <c r="B470" s="28"/>
      <c r="C470" s="29"/>
      <c r="D470" s="29"/>
    </row>
    <row r="471" spans="1:4" x14ac:dyDescent="0.25">
      <c r="A471" s="27"/>
      <c r="B471" s="28"/>
      <c r="C471" s="29"/>
      <c r="D471" s="29"/>
    </row>
    <row r="472" spans="1:4" x14ac:dyDescent="0.25">
      <c r="A472" s="27"/>
      <c r="B472" s="28"/>
      <c r="C472" s="29"/>
      <c r="D472" s="29"/>
    </row>
    <row r="473" spans="1:4" x14ac:dyDescent="0.25">
      <c r="A473" s="27"/>
      <c r="B473" s="28"/>
      <c r="C473" s="29"/>
      <c r="D473" s="29"/>
    </row>
    <row r="474" spans="1:4" x14ac:dyDescent="0.25">
      <c r="A474" s="27"/>
      <c r="B474" s="28"/>
      <c r="C474" s="29"/>
      <c r="D474" s="29"/>
    </row>
    <row r="475" spans="1:4" x14ac:dyDescent="0.25">
      <c r="A475" s="27"/>
      <c r="B475" s="28"/>
      <c r="C475" s="29"/>
      <c r="D475" s="29"/>
    </row>
    <row r="476" spans="1:4" x14ac:dyDescent="0.25">
      <c r="A476" s="27"/>
      <c r="B476" s="28"/>
      <c r="C476" s="29"/>
      <c r="D476" s="29"/>
    </row>
    <row r="477" spans="1:4" x14ac:dyDescent="0.25">
      <c r="A477" s="27"/>
      <c r="B477" s="28"/>
      <c r="C477" s="29"/>
      <c r="D477" s="29"/>
    </row>
    <row r="478" spans="1:4" x14ac:dyDescent="0.25">
      <c r="A478" s="27"/>
      <c r="B478" s="28"/>
      <c r="C478" s="29"/>
      <c r="D478" s="29"/>
    </row>
    <row r="479" spans="1:4" x14ac:dyDescent="0.25">
      <c r="A479" s="27"/>
      <c r="B479" s="28"/>
      <c r="C479" s="29"/>
      <c r="D479" s="29"/>
    </row>
    <row r="480" spans="1:4" x14ac:dyDescent="0.25">
      <c r="A480" s="27"/>
      <c r="B480" s="28"/>
      <c r="C480" s="29"/>
      <c r="D480" s="29"/>
    </row>
    <row r="481" spans="1:4" x14ac:dyDescent="0.25">
      <c r="A481" s="27"/>
      <c r="B481" s="28"/>
      <c r="C481" s="29"/>
      <c r="D481" s="29"/>
    </row>
    <row r="482" spans="1:4" x14ac:dyDescent="0.25">
      <c r="A482" s="27"/>
      <c r="B482" s="28"/>
      <c r="C482" s="29"/>
      <c r="D482" s="29"/>
    </row>
    <row r="483" spans="1:4" x14ac:dyDescent="0.25">
      <c r="A483" s="27"/>
      <c r="B483" s="28"/>
      <c r="C483" s="29"/>
      <c r="D483" s="29"/>
    </row>
    <row r="484" spans="1:4" x14ac:dyDescent="0.25">
      <c r="A484" s="27"/>
      <c r="B484" s="28"/>
      <c r="C484" s="29"/>
      <c r="D484" s="29"/>
    </row>
    <row r="485" spans="1:4" x14ac:dyDescent="0.25">
      <c r="A485" s="27"/>
      <c r="B485" s="28"/>
      <c r="C485" s="29"/>
      <c r="D485" s="29"/>
    </row>
    <row r="486" spans="1:4" x14ac:dyDescent="0.25">
      <c r="A486" s="27"/>
      <c r="B486" s="28"/>
      <c r="C486" s="29"/>
      <c r="D486" s="29"/>
    </row>
    <row r="487" spans="1:4" x14ac:dyDescent="0.25">
      <c r="A487" s="27"/>
      <c r="B487" s="28"/>
      <c r="C487" s="29"/>
      <c r="D487" s="29"/>
    </row>
    <row r="488" spans="1:4" x14ac:dyDescent="0.25">
      <c r="A488" s="27"/>
      <c r="B488" s="28"/>
      <c r="C488" s="29"/>
      <c r="D488" s="29"/>
    </row>
    <row r="489" spans="1:4" x14ac:dyDescent="0.25">
      <c r="A489" s="27"/>
      <c r="B489" s="28"/>
      <c r="C489" s="29"/>
      <c r="D489" s="29"/>
    </row>
    <row r="490" spans="1:4" x14ac:dyDescent="0.25">
      <c r="A490" s="27"/>
      <c r="B490" s="28"/>
      <c r="C490" s="29"/>
      <c r="D490" s="29"/>
    </row>
    <row r="491" spans="1:4" x14ac:dyDescent="0.25">
      <c r="A491" s="27"/>
      <c r="B491" s="28"/>
      <c r="C491" s="29"/>
      <c r="D491" s="29"/>
    </row>
    <row r="492" spans="1:4" x14ac:dyDescent="0.25">
      <c r="A492" s="27"/>
      <c r="B492" s="28"/>
      <c r="C492" s="29"/>
      <c r="D492" s="29"/>
    </row>
    <row r="493" spans="1:4" x14ac:dyDescent="0.25">
      <c r="A493" s="27"/>
      <c r="B493" s="28"/>
      <c r="C493" s="29"/>
      <c r="D493" s="29"/>
    </row>
    <row r="494" spans="1:4" x14ac:dyDescent="0.25">
      <c r="A494" s="27"/>
      <c r="B494" s="28"/>
      <c r="C494" s="29"/>
      <c r="D494" s="29"/>
    </row>
    <row r="495" spans="1:4" x14ac:dyDescent="0.25">
      <c r="A495" s="27"/>
      <c r="B495" s="28"/>
      <c r="C495" s="29"/>
      <c r="D495" s="29"/>
    </row>
    <row r="496" spans="1:4" x14ac:dyDescent="0.25">
      <c r="A496" s="27"/>
      <c r="B496" s="28"/>
      <c r="C496" s="29"/>
      <c r="D496" s="29"/>
    </row>
    <row r="497" spans="1:4" x14ac:dyDescent="0.25">
      <c r="A497" s="27"/>
      <c r="B497" s="28"/>
      <c r="C497" s="29"/>
      <c r="D497" s="29"/>
    </row>
    <row r="498" spans="1:4" x14ac:dyDescent="0.25">
      <c r="A498" s="27"/>
      <c r="B498" s="28"/>
      <c r="C498" s="29"/>
      <c r="D498" s="29"/>
    </row>
    <row r="499" spans="1:4" x14ac:dyDescent="0.25">
      <c r="A499" s="27"/>
      <c r="B499" s="28"/>
      <c r="C499" s="29"/>
      <c r="D499" s="29"/>
    </row>
    <row r="500" spans="1:4" x14ac:dyDescent="0.25">
      <c r="A500" s="27"/>
      <c r="B500" s="28"/>
      <c r="C500" s="29"/>
      <c r="D500" s="29"/>
    </row>
    <row r="501" spans="1:4" x14ac:dyDescent="0.25">
      <c r="A501" s="27"/>
      <c r="B501" s="28"/>
      <c r="C501" s="29"/>
      <c r="D501" s="29"/>
    </row>
    <row r="502" spans="1:4" x14ac:dyDescent="0.25">
      <c r="A502" s="27"/>
      <c r="B502" s="28"/>
      <c r="C502" s="29"/>
      <c r="D502" s="29"/>
    </row>
    <row r="503" spans="1:4" x14ac:dyDescent="0.25">
      <c r="A503" s="27"/>
      <c r="B503" s="28"/>
      <c r="C503" s="29"/>
      <c r="D503" s="29"/>
    </row>
    <row r="504" spans="1:4" x14ac:dyDescent="0.25">
      <c r="A504" s="27"/>
      <c r="B504" s="28"/>
      <c r="C504" s="29"/>
      <c r="D504" s="29"/>
    </row>
    <row r="505" spans="1:4" x14ac:dyDescent="0.25">
      <c r="A505" s="27"/>
      <c r="B505" s="28"/>
      <c r="C505" s="29"/>
      <c r="D505" s="29"/>
    </row>
    <row r="506" spans="1:4" x14ac:dyDescent="0.25">
      <c r="A506" s="27"/>
      <c r="B506" s="28"/>
      <c r="C506" s="29"/>
      <c r="D506" s="29"/>
    </row>
    <row r="507" spans="1:4" x14ac:dyDescent="0.25">
      <c r="A507" s="27"/>
      <c r="B507" s="28"/>
      <c r="C507" s="29"/>
      <c r="D507" s="29"/>
    </row>
    <row r="508" spans="1:4" x14ac:dyDescent="0.25">
      <c r="A508" s="27"/>
      <c r="B508" s="28"/>
      <c r="C508" s="29"/>
      <c r="D508" s="29"/>
    </row>
    <row r="509" spans="1:4" x14ac:dyDescent="0.25">
      <c r="A509" s="27"/>
      <c r="B509" s="28"/>
      <c r="C509" s="29"/>
      <c r="D509" s="29"/>
    </row>
    <row r="510" spans="1:4" x14ac:dyDescent="0.25">
      <c r="A510" s="27"/>
      <c r="B510" s="28"/>
      <c r="C510" s="29"/>
      <c r="D510" s="29"/>
    </row>
    <row r="511" spans="1:4" x14ac:dyDescent="0.25">
      <c r="A511" s="27"/>
      <c r="B511" s="28"/>
      <c r="C511" s="29"/>
      <c r="D511" s="29"/>
    </row>
    <row r="512" spans="1:4" x14ac:dyDescent="0.25">
      <c r="A512" s="27"/>
      <c r="B512" s="28"/>
      <c r="C512" s="29"/>
      <c r="D512" s="29"/>
    </row>
    <row r="513" spans="1:4" x14ac:dyDescent="0.25">
      <c r="A513" s="27"/>
      <c r="B513" s="28"/>
      <c r="C513" s="29"/>
      <c r="D513" s="29"/>
    </row>
    <row r="514" spans="1:4" x14ac:dyDescent="0.25">
      <c r="A514" s="27"/>
      <c r="B514" s="28"/>
      <c r="C514" s="29"/>
      <c r="D514" s="29"/>
    </row>
    <row r="515" spans="1:4" x14ac:dyDescent="0.25">
      <c r="A515" s="27"/>
      <c r="B515" s="28"/>
      <c r="C515" s="29"/>
      <c r="D515" s="29"/>
    </row>
    <row r="516" spans="1:4" x14ac:dyDescent="0.25">
      <c r="A516" s="27"/>
      <c r="B516" s="28"/>
      <c r="C516" s="29"/>
      <c r="D516" s="29"/>
    </row>
    <row r="517" spans="1:4" x14ac:dyDescent="0.25">
      <c r="A517" s="27"/>
      <c r="B517" s="28"/>
      <c r="C517" s="29"/>
      <c r="D517" s="29"/>
    </row>
    <row r="518" spans="1:4" x14ac:dyDescent="0.25">
      <c r="A518" s="27"/>
      <c r="B518" s="28"/>
      <c r="C518" s="29"/>
      <c r="D518" s="29"/>
    </row>
    <row r="519" spans="1:4" x14ac:dyDescent="0.25">
      <c r="A519" s="27"/>
      <c r="B519" s="28"/>
      <c r="C519" s="29"/>
      <c r="D519" s="29"/>
    </row>
    <row r="520" spans="1:4" x14ac:dyDescent="0.25">
      <c r="A520" s="27"/>
      <c r="B520" s="28"/>
      <c r="C520" s="29"/>
      <c r="D520" s="29"/>
    </row>
    <row r="521" spans="1:4" x14ac:dyDescent="0.25">
      <c r="A521" s="27"/>
      <c r="B521" s="28"/>
      <c r="C521" s="29"/>
      <c r="D521" s="29"/>
    </row>
    <row r="522" spans="1:4" x14ac:dyDescent="0.25">
      <c r="A522" s="27"/>
      <c r="B522" s="28"/>
      <c r="C522" s="29"/>
      <c r="D522" s="29"/>
    </row>
    <row r="523" spans="1:4" x14ac:dyDescent="0.25">
      <c r="A523" s="27"/>
      <c r="B523" s="28"/>
      <c r="C523" s="29"/>
      <c r="D523" s="29"/>
    </row>
    <row r="524" spans="1:4" x14ac:dyDescent="0.25">
      <c r="A524" s="27"/>
      <c r="B524" s="28"/>
      <c r="C524" s="29"/>
      <c r="D524" s="29"/>
    </row>
    <row r="525" spans="1:4" x14ac:dyDescent="0.25">
      <c r="A525" s="27"/>
      <c r="B525" s="28"/>
      <c r="C525" s="29"/>
      <c r="D525" s="29"/>
    </row>
    <row r="526" spans="1:4" x14ac:dyDescent="0.25">
      <c r="A526" s="27"/>
      <c r="B526" s="28"/>
      <c r="C526" s="29"/>
      <c r="D526" s="29"/>
    </row>
    <row r="527" spans="1:4" x14ac:dyDescent="0.25">
      <c r="A527" s="27"/>
      <c r="B527" s="28"/>
      <c r="C527" s="29"/>
      <c r="D527" s="29"/>
    </row>
    <row r="528" spans="1:4" x14ac:dyDescent="0.25">
      <c r="A528" s="27"/>
      <c r="B528" s="28"/>
      <c r="C528" s="29"/>
      <c r="D528" s="29"/>
    </row>
    <row r="529" spans="1:4" x14ac:dyDescent="0.25">
      <c r="A529" s="27"/>
      <c r="B529" s="28"/>
      <c r="C529" s="29"/>
      <c r="D529" s="29"/>
    </row>
    <row r="530" spans="1:4" x14ac:dyDescent="0.25">
      <c r="A530" s="27"/>
      <c r="B530" s="28"/>
      <c r="C530" s="29"/>
      <c r="D530" s="29"/>
    </row>
    <row r="531" spans="1:4" x14ac:dyDescent="0.25">
      <c r="A531" s="27"/>
      <c r="B531" s="28"/>
      <c r="C531" s="29"/>
      <c r="D531" s="29"/>
    </row>
    <row r="532" spans="1:4" x14ac:dyDescent="0.25">
      <c r="A532" s="27"/>
      <c r="B532" s="28"/>
      <c r="C532" s="29"/>
      <c r="D532" s="29"/>
    </row>
    <row r="533" spans="1:4" x14ac:dyDescent="0.25">
      <c r="A533" s="27"/>
      <c r="B533" s="28"/>
      <c r="C533" s="29"/>
      <c r="D533" s="29"/>
    </row>
    <row r="534" spans="1:4" x14ac:dyDescent="0.25">
      <c r="A534" s="27"/>
      <c r="B534" s="28"/>
      <c r="C534" s="29"/>
      <c r="D534" s="29"/>
    </row>
    <row r="535" spans="1:4" x14ac:dyDescent="0.25">
      <c r="A535" s="27"/>
      <c r="B535" s="28"/>
      <c r="C535" s="29"/>
      <c r="D535" s="29"/>
    </row>
    <row r="536" spans="1:4" x14ac:dyDescent="0.25">
      <c r="A536" s="27"/>
      <c r="B536" s="28"/>
      <c r="C536" s="29"/>
      <c r="D536" s="29"/>
    </row>
    <row r="537" spans="1:4" x14ac:dyDescent="0.25">
      <c r="A537" s="27"/>
      <c r="B537" s="28"/>
      <c r="C537" s="29"/>
      <c r="D537" s="29"/>
    </row>
    <row r="538" spans="1:4" x14ac:dyDescent="0.25">
      <c r="A538" s="27"/>
      <c r="B538" s="28"/>
      <c r="C538" s="29"/>
      <c r="D538" s="29"/>
    </row>
    <row r="539" spans="1:4" x14ac:dyDescent="0.25">
      <c r="A539" s="27"/>
      <c r="B539" s="28"/>
      <c r="C539" s="29"/>
      <c r="D539" s="29"/>
    </row>
    <row r="540" spans="1:4" x14ac:dyDescent="0.25">
      <c r="A540" s="27"/>
      <c r="B540" s="28"/>
      <c r="C540" s="29"/>
      <c r="D540" s="29"/>
    </row>
    <row r="541" spans="1:4" x14ac:dyDescent="0.25">
      <c r="A541" s="27"/>
      <c r="B541" s="28"/>
      <c r="C541" s="29"/>
      <c r="D541" s="29"/>
    </row>
    <row r="542" spans="1:4" x14ac:dyDescent="0.25">
      <c r="A542" s="27"/>
      <c r="B542" s="28"/>
      <c r="C542" s="29"/>
      <c r="D542" s="29"/>
    </row>
    <row r="543" spans="1:4" x14ac:dyDescent="0.25">
      <c r="A543" s="27"/>
      <c r="B543" s="28"/>
      <c r="C543" s="29"/>
      <c r="D543" s="29"/>
    </row>
    <row r="544" spans="1:4" x14ac:dyDescent="0.25">
      <c r="A544" s="27"/>
      <c r="B544" s="28"/>
      <c r="C544" s="29"/>
      <c r="D544" s="29"/>
    </row>
    <row r="545" spans="1:4" x14ac:dyDescent="0.25">
      <c r="A545" s="27"/>
      <c r="B545" s="28"/>
      <c r="C545" s="29"/>
      <c r="D545" s="29"/>
    </row>
    <row r="546" spans="1:4" x14ac:dyDescent="0.25">
      <c r="A546" s="27"/>
      <c r="B546" s="28"/>
      <c r="C546" s="29"/>
      <c r="D546" s="29"/>
    </row>
    <row r="547" spans="1:4" x14ac:dyDescent="0.25">
      <c r="A547" s="27"/>
      <c r="B547" s="28"/>
      <c r="C547" s="29"/>
      <c r="D547" s="29"/>
    </row>
    <row r="548" spans="1:4" x14ac:dyDescent="0.25">
      <c r="A548" s="27"/>
      <c r="B548" s="28"/>
      <c r="C548" s="29"/>
      <c r="D548" s="29"/>
    </row>
    <row r="549" spans="1:4" x14ac:dyDescent="0.25">
      <c r="A549" s="27"/>
      <c r="B549" s="28"/>
      <c r="C549" s="29"/>
      <c r="D549" s="29"/>
    </row>
    <row r="550" spans="1:4" x14ac:dyDescent="0.25">
      <c r="A550" s="27"/>
      <c r="B550" s="28"/>
      <c r="C550" s="29"/>
      <c r="D550" s="29"/>
    </row>
    <row r="551" spans="1:4" x14ac:dyDescent="0.25">
      <c r="A551" s="27"/>
      <c r="B551" s="28"/>
      <c r="C551" s="29"/>
      <c r="D551" s="29"/>
    </row>
    <row r="552" spans="1:4" x14ac:dyDescent="0.25">
      <c r="A552" s="27"/>
      <c r="B552" s="28"/>
      <c r="C552" s="29"/>
      <c r="D552" s="29"/>
    </row>
    <row r="553" spans="1:4" x14ac:dyDescent="0.25">
      <c r="A553" s="27"/>
      <c r="B553" s="28"/>
      <c r="C553" s="29"/>
      <c r="D553" s="29"/>
    </row>
    <row r="554" spans="1:4" x14ac:dyDescent="0.25">
      <c r="A554" s="27"/>
      <c r="B554" s="28"/>
      <c r="C554" s="29"/>
      <c r="D554" s="29"/>
    </row>
    <row r="555" spans="1:4" x14ac:dyDescent="0.25">
      <c r="A555" s="27"/>
      <c r="B555" s="28"/>
      <c r="C555" s="29"/>
      <c r="D555" s="29"/>
    </row>
    <row r="556" spans="1:4" x14ac:dyDescent="0.25">
      <c r="A556" s="27"/>
      <c r="B556" s="28"/>
      <c r="C556" s="29"/>
      <c r="D556" s="29"/>
    </row>
    <row r="557" spans="1:4" x14ac:dyDescent="0.25">
      <c r="A557" s="27"/>
      <c r="B557" s="28"/>
      <c r="C557" s="29"/>
      <c r="D557" s="29"/>
    </row>
    <row r="558" spans="1:4" x14ac:dyDescent="0.25">
      <c r="A558" s="27"/>
      <c r="B558" s="28"/>
      <c r="C558" s="29"/>
      <c r="D558" s="29"/>
    </row>
    <row r="559" spans="1:4" x14ac:dyDescent="0.25">
      <c r="A559" s="27"/>
      <c r="B559" s="28"/>
      <c r="C559" s="29"/>
      <c r="D559" s="29"/>
    </row>
    <row r="560" spans="1:4" x14ac:dyDescent="0.25">
      <c r="A560" s="27"/>
      <c r="B560" s="28"/>
      <c r="C560" s="29"/>
      <c r="D560" s="29"/>
    </row>
    <row r="561" spans="1:4" x14ac:dyDescent="0.25">
      <c r="A561" s="27"/>
      <c r="B561" s="28"/>
      <c r="C561" s="29"/>
      <c r="D561" s="29"/>
    </row>
    <row r="562" spans="1:4" x14ac:dyDescent="0.25">
      <c r="A562" s="27"/>
      <c r="B562" s="28"/>
      <c r="C562" s="29"/>
      <c r="D562" s="29"/>
    </row>
    <row r="563" spans="1:4" x14ac:dyDescent="0.25">
      <c r="A563" s="27"/>
      <c r="B563" s="28"/>
      <c r="C563" s="29"/>
      <c r="D563" s="29"/>
    </row>
    <row r="564" spans="1:4" x14ac:dyDescent="0.25">
      <c r="A564" s="27"/>
      <c r="B564" s="28"/>
      <c r="C564" s="29"/>
      <c r="D564" s="29"/>
    </row>
    <row r="565" spans="1:4" x14ac:dyDescent="0.25">
      <c r="A565" s="27"/>
      <c r="B565" s="28"/>
      <c r="C565" s="29"/>
      <c r="D565" s="29"/>
    </row>
    <row r="566" spans="1:4" x14ac:dyDescent="0.25">
      <c r="A566" s="27"/>
      <c r="B566" s="28"/>
      <c r="C566" s="29"/>
      <c r="D566" s="29"/>
    </row>
    <row r="567" spans="1:4" x14ac:dyDescent="0.25">
      <c r="A567" s="27"/>
      <c r="B567" s="28"/>
      <c r="C567" s="29"/>
      <c r="D567" s="29"/>
    </row>
    <row r="568" spans="1:4" x14ac:dyDescent="0.25">
      <c r="A568" s="27"/>
      <c r="B568" s="28"/>
      <c r="C568" s="29"/>
      <c r="D568" s="29"/>
    </row>
    <row r="569" spans="1:4" x14ac:dyDescent="0.25">
      <c r="A569" s="27"/>
      <c r="B569" s="28"/>
      <c r="C569" s="29"/>
      <c r="D569" s="29"/>
    </row>
    <row r="570" spans="1:4" x14ac:dyDescent="0.25">
      <c r="A570" s="27"/>
      <c r="B570" s="28"/>
      <c r="C570" s="29"/>
      <c r="D570" s="29"/>
    </row>
    <row r="571" spans="1:4" x14ac:dyDescent="0.25">
      <c r="A571" s="27"/>
      <c r="B571" s="28"/>
      <c r="C571" s="29"/>
      <c r="D571" s="29"/>
    </row>
    <row r="572" spans="1:4" x14ac:dyDescent="0.25">
      <c r="A572" s="27"/>
      <c r="B572" s="28"/>
      <c r="C572" s="29"/>
      <c r="D572" s="29"/>
    </row>
    <row r="573" spans="1:4" x14ac:dyDescent="0.25">
      <c r="A573" s="27"/>
      <c r="B573" s="28"/>
      <c r="C573" s="29"/>
      <c r="D573" s="29"/>
    </row>
    <row r="574" spans="1:4" x14ac:dyDescent="0.25">
      <c r="A574" s="27"/>
      <c r="B574" s="28"/>
      <c r="C574" s="29"/>
      <c r="D574" s="29"/>
    </row>
    <row r="575" spans="1:4" x14ac:dyDescent="0.25">
      <c r="A575" s="27"/>
      <c r="B575" s="28"/>
      <c r="C575" s="29"/>
      <c r="D575" s="29"/>
    </row>
    <row r="576" spans="1:4" x14ac:dyDescent="0.25">
      <c r="A576" s="27"/>
      <c r="B576" s="28"/>
      <c r="C576" s="29"/>
      <c r="D576" s="29"/>
    </row>
    <row r="577" spans="1:4" x14ac:dyDescent="0.25">
      <c r="A577" s="27"/>
      <c r="B577" s="28"/>
      <c r="C577" s="29"/>
      <c r="D577" s="29"/>
    </row>
    <row r="578" spans="1:4" x14ac:dyDescent="0.25">
      <c r="A578" s="27"/>
      <c r="B578" s="28"/>
      <c r="C578" s="29"/>
      <c r="D578" s="29"/>
    </row>
    <row r="579" spans="1:4" x14ac:dyDescent="0.25">
      <c r="A579" s="27"/>
      <c r="B579" s="28"/>
      <c r="C579" s="29"/>
      <c r="D579" s="29"/>
    </row>
    <row r="580" spans="1:4" x14ac:dyDescent="0.25">
      <c r="A580" s="27"/>
      <c r="B580" s="28"/>
      <c r="C580" s="29"/>
      <c r="D580" s="29"/>
    </row>
    <row r="581" spans="1:4" x14ac:dyDescent="0.25">
      <c r="A581" s="27"/>
      <c r="B581" s="28"/>
      <c r="C581" s="29"/>
      <c r="D581" s="29"/>
    </row>
    <row r="582" spans="1:4" x14ac:dyDescent="0.25">
      <c r="A582" s="27"/>
      <c r="B582" s="28"/>
      <c r="C582" s="29"/>
      <c r="D582" s="29"/>
    </row>
    <row r="583" spans="1:4" x14ac:dyDescent="0.25">
      <c r="A583" s="27"/>
      <c r="B583" s="28"/>
      <c r="C583" s="29"/>
      <c r="D583" s="29"/>
    </row>
    <row r="584" spans="1:4" x14ac:dyDescent="0.25">
      <c r="A584" s="27"/>
      <c r="B584" s="28"/>
      <c r="C584" s="29"/>
      <c r="D584" s="29"/>
    </row>
    <row r="585" spans="1:4" x14ac:dyDescent="0.25">
      <c r="A585" s="27"/>
      <c r="B585" s="28"/>
      <c r="C585" s="29"/>
      <c r="D585" s="29"/>
    </row>
    <row r="586" spans="1:4" x14ac:dyDescent="0.25">
      <c r="A586" s="27"/>
      <c r="B586" s="28"/>
      <c r="C586" s="29"/>
      <c r="D586" s="29"/>
    </row>
    <row r="587" spans="1:4" x14ac:dyDescent="0.25">
      <c r="A587" s="27"/>
      <c r="B587" s="28"/>
      <c r="C587" s="29"/>
      <c r="D587" s="29"/>
    </row>
    <row r="588" spans="1:4" x14ac:dyDescent="0.25">
      <c r="A588" s="27"/>
      <c r="B588" s="28"/>
      <c r="C588" s="29"/>
      <c r="D588" s="29"/>
    </row>
    <row r="589" spans="1:4" x14ac:dyDescent="0.25">
      <c r="A589" s="27"/>
      <c r="B589" s="28"/>
      <c r="C589" s="29"/>
      <c r="D589" s="29"/>
    </row>
    <row r="590" spans="1:4" x14ac:dyDescent="0.25">
      <c r="A590" s="27"/>
      <c r="B590" s="28"/>
      <c r="C590" s="29"/>
      <c r="D590" s="29"/>
    </row>
    <row r="591" spans="1:4" x14ac:dyDescent="0.25">
      <c r="A591" s="27"/>
      <c r="B591" s="28"/>
      <c r="C591" s="29"/>
      <c r="D591" s="29"/>
    </row>
    <row r="592" spans="1:4" x14ac:dyDescent="0.25">
      <c r="A592" s="27"/>
      <c r="B592" s="28"/>
      <c r="C592" s="29"/>
      <c r="D592" s="29"/>
    </row>
    <row r="593" spans="1:4" x14ac:dyDescent="0.25">
      <c r="A593" s="27"/>
      <c r="B593" s="28"/>
      <c r="C593" s="29"/>
      <c r="D593" s="29"/>
    </row>
    <row r="594" spans="1:4" x14ac:dyDescent="0.25">
      <c r="A594" s="27"/>
      <c r="B594" s="28"/>
      <c r="C594" s="29"/>
      <c r="D594" s="29"/>
    </row>
    <row r="595" spans="1:4" x14ac:dyDescent="0.25">
      <c r="A595" s="27"/>
      <c r="B595" s="28"/>
      <c r="C595" s="29"/>
      <c r="D595" s="29"/>
    </row>
    <row r="596" spans="1:4" x14ac:dyDescent="0.25">
      <c r="A596" s="27"/>
      <c r="B596" s="28"/>
      <c r="C596" s="29"/>
      <c r="D596" s="29"/>
    </row>
    <row r="597" spans="1:4" x14ac:dyDescent="0.25">
      <c r="A597" s="27"/>
      <c r="B597" s="28"/>
      <c r="C597" s="29"/>
      <c r="D597" s="29"/>
    </row>
    <row r="598" spans="1:4" x14ac:dyDescent="0.25">
      <c r="A598" s="27"/>
      <c r="B598" s="28"/>
      <c r="C598" s="29"/>
      <c r="D598" s="29"/>
    </row>
    <row r="599" spans="1:4" x14ac:dyDescent="0.25">
      <c r="A599" s="27"/>
      <c r="B599" s="28"/>
      <c r="C599" s="29"/>
      <c r="D599" s="29"/>
    </row>
    <row r="600" spans="1:4" x14ac:dyDescent="0.25">
      <c r="A600" s="27"/>
      <c r="B600" s="28"/>
      <c r="C600" s="29"/>
      <c r="D600" s="29"/>
    </row>
    <row r="601" spans="1:4" x14ac:dyDescent="0.25">
      <c r="A601" s="27"/>
      <c r="B601" s="28"/>
      <c r="C601" s="29"/>
      <c r="D601" s="29"/>
    </row>
    <row r="602" spans="1:4" x14ac:dyDescent="0.25">
      <c r="A602" s="27"/>
      <c r="B602" s="28"/>
      <c r="C602" s="29"/>
      <c r="D602" s="29"/>
    </row>
    <row r="603" spans="1:4" x14ac:dyDescent="0.25">
      <c r="A603" s="27"/>
      <c r="B603" s="28"/>
      <c r="C603" s="29"/>
      <c r="D603" s="29"/>
    </row>
    <row r="604" spans="1:4" x14ac:dyDescent="0.25">
      <c r="A604" s="27"/>
      <c r="B604" s="28"/>
      <c r="C604" s="29"/>
      <c r="D604" s="29"/>
    </row>
    <row r="605" spans="1:4" x14ac:dyDescent="0.25">
      <c r="A605" s="27"/>
      <c r="B605" s="28"/>
      <c r="C605" s="29"/>
      <c r="D605" s="29"/>
    </row>
    <row r="606" spans="1:4" x14ac:dyDescent="0.25">
      <c r="A606" s="27"/>
      <c r="B606" s="28"/>
      <c r="C606" s="29"/>
      <c r="D606" s="29"/>
    </row>
    <row r="607" spans="1:4" x14ac:dyDescent="0.25">
      <c r="A607" s="27"/>
      <c r="B607" s="28"/>
      <c r="C607" s="29"/>
      <c r="D607" s="29"/>
    </row>
    <row r="608" spans="1:4" x14ac:dyDescent="0.25">
      <c r="A608" s="27"/>
      <c r="B608" s="28"/>
      <c r="C608" s="29"/>
      <c r="D608" s="29"/>
    </row>
    <row r="609" spans="1:4" x14ac:dyDescent="0.25">
      <c r="A609" s="27"/>
      <c r="B609" s="28"/>
      <c r="C609" s="29"/>
      <c r="D609" s="29"/>
    </row>
    <row r="610" spans="1:4" x14ac:dyDescent="0.25">
      <c r="A610" s="27"/>
      <c r="B610" s="28"/>
      <c r="C610" s="29"/>
      <c r="D610" s="29"/>
    </row>
    <row r="611" spans="1:4" x14ac:dyDescent="0.25">
      <c r="A611" s="27"/>
      <c r="B611" s="28"/>
      <c r="C611" s="29"/>
      <c r="D611" s="29"/>
    </row>
    <row r="612" spans="1:4" x14ac:dyDescent="0.25">
      <c r="A612" s="27"/>
      <c r="B612" s="28"/>
      <c r="C612" s="29"/>
      <c r="D612" s="29"/>
    </row>
    <row r="613" spans="1:4" x14ac:dyDescent="0.25">
      <c r="A613" s="27"/>
      <c r="B613" s="28"/>
      <c r="C613" s="29"/>
      <c r="D613" s="29"/>
    </row>
    <row r="614" spans="1:4" x14ac:dyDescent="0.25">
      <c r="A614" s="27"/>
      <c r="B614" s="28"/>
      <c r="C614" s="29"/>
      <c r="D614" s="29"/>
    </row>
    <row r="615" spans="1:4" x14ac:dyDescent="0.25">
      <c r="A615" s="27"/>
      <c r="B615" s="28"/>
      <c r="C615" s="29"/>
      <c r="D615" s="29"/>
    </row>
    <row r="616" spans="1:4" x14ac:dyDescent="0.25">
      <c r="A616" s="27"/>
      <c r="B616" s="28"/>
      <c r="C616" s="29"/>
      <c r="D616" s="29"/>
    </row>
    <row r="617" spans="1:4" x14ac:dyDescent="0.25">
      <c r="A617" s="27"/>
      <c r="B617" s="28"/>
      <c r="C617" s="29"/>
      <c r="D617" s="29"/>
    </row>
    <row r="618" spans="1:4" x14ac:dyDescent="0.25">
      <c r="A618" s="27"/>
      <c r="B618" s="28"/>
      <c r="C618" s="29"/>
      <c r="D618" s="29"/>
    </row>
    <row r="619" spans="1:4" x14ac:dyDescent="0.25">
      <c r="A619" s="27"/>
      <c r="B619" s="28"/>
      <c r="C619" s="29"/>
      <c r="D619" s="29"/>
    </row>
    <row r="620" spans="1:4" x14ac:dyDescent="0.25">
      <c r="A620" s="27"/>
      <c r="B620" s="28"/>
      <c r="C620" s="29"/>
      <c r="D620" s="29"/>
    </row>
    <row r="621" spans="1:4" x14ac:dyDescent="0.25">
      <c r="A621" s="27"/>
      <c r="B621" s="28"/>
      <c r="C621" s="29"/>
      <c r="D621" s="29"/>
    </row>
    <row r="622" spans="1:4" x14ac:dyDescent="0.25">
      <c r="A622" s="27"/>
      <c r="B622" s="28"/>
      <c r="C622" s="29"/>
      <c r="D622" s="29"/>
    </row>
    <row r="623" spans="1:4" x14ac:dyDescent="0.25">
      <c r="A623" s="27"/>
      <c r="B623" s="28"/>
      <c r="C623" s="29"/>
      <c r="D623" s="29"/>
    </row>
    <row r="624" spans="1:4" x14ac:dyDescent="0.25">
      <c r="A624" s="27"/>
      <c r="B624" s="28"/>
      <c r="C624" s="29"/>
      <c r="D624" s="29"/>
    </row>
    <row r="625" spans="1:4" x14ac:dyDescent="0.25">
      <c r="A625" s="27"/>
      <c r="B625" s="28"/>
      <c r="C625" s="29"/>
      <c r="D625" s="29"/>
    </row>
    <row r="626" spans="1:4" x14ac:dyDescent="0.25">
      <c r="A626" s="27"/>
      <c r="B626" s="28"/>
      <c r="C626" s="29"/>
      <c r="D626" s="29"/>
    </row>
    <row r="627" spans="1:4" x14ac:dyDescent="0.25">
      <c r="A627" s="27"/>
      <c r="B627" s="28"/>
      <c r="C627" s="29"/>
      <c r="D627" s="29"/>
    </row>
    <row r="628" spans="1:4" x14ac:dyDescent="0.25">
      <c r="A628" s="27"/>
      <c r="B628" s="28"/>
      <c r="C628" s="29"/>
      <c r="D628" s="29"/>
    </row>
    <row r="629" spans="1:4" x14ac:dyDescent="0.25">
      <c r="A629" s="27"/>
      <c r="B629" s="28"/>
      <c r="C629" s="29"/>
      <c r="D629" s="29"/>
    </row>
    <row r="630" spans="1:4" x14ac:dyDescent="0.25">
      <c r="A630" s="27"/>
      <c r="B630" s="28"/>
      <c r="C630" s="29"/>
      <c r="D630" s="29"/>
    </row>
    <row r="631" spans="1:4" x14ac:dyDescent="0.25">
      <c r="A631" s="27"/>
      <c r="B631" s="28"/>
      <c r="C631" s="29"/>
      <c r="D631" s="29"/>
    </row>
    <row r="632" spans="1:4" x14ac:dyDescent="0.25">
      <c r="A632" s="27"/>
      <c r="B632" s="28"/>
      <c r="C632" s="29"/>
      <c r="D632" s="29"/>
    </row>
    <row r="633" spans="1:4" x14ac:dyDescent="0.25">
      <c r="A633" s="27"/>
      <c r="B633" s="28"/>
      <c r="C633" s="29"/>
      <c r="D633" s="29"/>
    </row>
    <row r="634" spans="1:4" x14ac:dyDescent="0.25">
      <c r="A634" s="27"/>
      <c r="B634" s="28"/>
      <c r="C634" s="29"/>
      <c r="D634" s="29"/>
    </row>
    <row r="635" spans="1:4" x14ac:dyDescent="0.25">
      <c r="A635" s="27"/>
      <c r="B635" s="28"/>
      <c r="C635" s="29"/>
      <c r="D635" s="29"/>
    </row>
    <row r="636" spans="1:4" x14ac:dyDescent="0.25">
      <c r="A636" s="27"/>
      <c r="B636" s="28"/>
      <c r="C636" s="29"/>
      <c r="D636" s="29"/>
    </row>
    <row r="637" spans="1:4" x14ac:dyDescent="0.25">
      <c r="A637" s="27"/>
      <c r="B637" s="28"/>
      <c r="C637" s="29"/>
      <c r="D637" s="29"/>
    </row>
    <row r="638" spans="1:4" x14ac:dyDescent="0.25">
      <c r="A638" s="27"/>
      <c r="B638" s="28"/>
      <c r="C638" s="29"/>
      <c r="D638" s="29"/>
    </row>
    <row r="639" spans="1:4" x14ac:dyDescent="0.25">
      <c r="A639" s="27"/>
      <c r="B639" s="28"/>
      <c r="C639" s="29"/>
      <c r="D639" s="29"/>
    </row>
    <row r="640" spans="1:4" x14ac:dyDescent="0.25">
      <c r="A640" s="27"/>
      <c r="B640" s="28"/>
      <c r="C640" s="29"/>
      <c r="D640" s="29"/>
    </row>
    <row r="641" spans="1:4" x14ac:dyDescent="0.25">
      <c r="A641" s="27"/>
      <c r="B641" s="28"/>
      <c r="C641" s="29"/>
      <c r="D641" s="29"/>
    </row>
    <row r="642" spans="1:4" x14ac:dyDescent="0.25">
      <c r="A642" s="27"/>
      <c r="B642" s="28"/>
      <c r="C642" s="29"/>
      <c r="D642" s="29"/>
    </row>
    <row r="643" spans="1:4" x14ac:dyDescent="0.25">
      <c r="A643" s="27"/>
      <c r="B643" s="28"/>
      <c r="C643" s="29"/>
      <c r="D643" s="29"/>
    </row>
    <row r="644" spans="1:4" x14ac:dyDescent="0.25">
      <c r="A644" s="27"/>
      <c r="B644" s="28"/>
      <c r="C644" s="29"/>
      <c r="D644" s="29"/>
    </row>
    <row r="645" spans="1:4" x14ac:dyDescent="0.25">
      <c r="A645" s="27"/>
      <c r="B645" s="28"/>
      <c r="C645" s="29"/>
      <c r="D645" s="29"/>
    </row>
    <row r="646" spans="1:4" x14ac:dyDescent="0.25">
      <c r="A646" s="27"/>
      <c r="B646" s="28"/>
      <c r="C646" s="29"/>
      <c r="D646" s="29"/>
    </row>
    <row r="647" spans="1:4" x14ac:dyDescent="0.25">
      <c r="A647" s="27"/>
      <c r="B647" s="28"/>
      <c r="C647" s="29"/>
      <c r="D647" s="29"/>
    </row>
    <row r="648" spans="1:4" x14ac:dyDescent="0.25">
      <c r="A648" s="27"/>
      <c r="B648" s="28"/>
      <c r="C648" s="29"/>
      <c r="D648" s="29"/>
    </row>
    <row r="649" spans="1:4" x14ac:dyDescent="0.25">
      <c r="A649" s="27"/>
      <c r="B649" s="28"/>
      <c r="C649" s="29"/>
      <c r="D649" s="29"/>
    </row>
    <row r="650" spans="1:4" x14ac:dyDescent="0.25">
      <c r="A650" s="27"/>
      <c r="B650" s="28"/>
      <c r="C650" s="29"/>
      <c r="D650" s="29"/>
    </row>
    <row r="651" spans="1:4" x14ac:dyDescent="0.25">
      <c r="A651" s="27"/>
      <c r="B651" s="28"/>
      <c r="C651" s="29"/>
      <c r="D651" s="29"/>
    </row>
    <row r="652" spans="1:4" x14ac:dyDescent="0.25">
      <c r="A652" s="27"/>
      <c r="B652" s="28"/>
      <c r="C652" s="29"/>
      <c r="D652" s="29"/>
    </row>
    <row r="653" spans="1:4" x14ac:dyDescent="0.25">
      <c r="A653" s="27"/>
      <c r="B653" s="28"/>
      <c r="C653" s="29"/>
      <c r="D653" s="29"/>
    </row>
    <row r="654" spans="1:4" x14ac:dyDescent="0.25">
      <c r="A654" s="27"/>
      <c r="B654" s="28"/>
      <c r="C654" s="29"/>
      <c r="D654" s="29"/>
    </row>
    <row r="655" spans="1:4" x14ac:dyDescent="0.25">
      <c r="A655" s="27"/>
      <c r="B655" s="28"/>
      <c r="C655" s="29"/>
      <c r="D655" s="29"/>
    </row>
    <row r="656" spans="1:4" x14ac:dyDescent="0.25">
      <c r="A656" s="27"/>
      <c r="B656" s="28"/>
      <c r="C656" s="29"/>
      <c r="D656" s="29"/>
    </row>
    <row r="657" spans="1:4" x14ac:dyDescent="0.25">
      <c r="A657" s="27"/>
      <c r="B657" s="28"/>
      <c r="C657" s="29"/>
      <c r="D657" s="29"/>
    </row>
    <row r="658" spans="1:4" x14ac:dyDescent="0.25">
      <c r="A658" s="27"/>
      <c r="B658" s="28"/>
      <c r="C658" s="29"/>
      <c r="D658" s="29"/>
    </row>
    <row r="659" spans="1:4" x14ac:dyDescent="0.25">
      <c r="A659" s="27"/>
      <c r="B659" s="28"/>
      <c r="C659" s="29"/>
      <c r="D659" s="29"/>
    </row>
    <row r="660" spans="1:4" x14ac:dyDescent="0.25">
      <c r="A660" s="27"/>
      <c r="B660" s="28"/>
      <c r="C660" s="29"/>
      <c r="D660" s="29"/>
    </row>
    <row r="661" spans="1:4" x14ac:dyDescent="0.25">
      <c r="A661" s="27"/>
      <c r="B661" s="28"/>
      <c r="C661" s="29"/>
      <c r="D661" s="29"/>
    </row>
    <row r="662" spans="1:4" x14ac:dyDescent="0.25">
      <c r="A662" s="27"/>
      <c r="B662" s="28"/>
      <c r="C662" s="29"/>
      <c r="D662" s="29"/>
    </row>
    <row r="663" spans="1:4" x14ac:dyDescent="0.25">
      <c r="A663" s="27"/>
      <c r="B663" s="28"/>
      <c r="C663" s="29"/>
      <c r="D663" s="29"/>
    </row>
    <row r="664" spans="1:4" x14ac:dyDescent="0.25">
      <c r="A664" s="27"/>
      <c r="B664" s="28"/>
      <c r="C664" s="29"/>
      <c r="D664" s="29"/>
    </row>
    <row r="665" spans="1:4" x14ac:dyDescent="0.25">
      <c r="A665" s="27"/>
      <c r="B665" s="28"/>
      <c r="C665" s="29"/>
      <c r="D665" s="29"/>
    </row>
    <row r="666" spans="1:4" x14ac:dyDescent="0.25">
      <c r="A666" s="27"/>
      <c r="B666" s="28"/>
      <c r="C666" s="29"/>
      <c r="D666" s="29"/>
    </row>
    <row r="667" spans="1:4" x14ac:dyDescent="0.25">
      <c r="A667" s="27"/>
      <c r="B667" s="28"/>
      <c r="C667" s="29"/>
      <c r="D667" s="29"/>
    </row>
    <row r="668" spans="1:4" x14ac:dyDescent="0.25">
      <c r="A668" s="27"/>
      <c r="B668" s="28"/>
      <c r="C668" s="29"/>
      <c r="D668" s="29"/>
    </row>
    <row r="669" spans="1:4" x14ac:dyDescent="0.25">
      <c r="A669" s="27"/>
      <c r="B669" s="28"/>
      <c r="C669" s="29"/>
      <c r="D669" s="29"/>
    </row>
    <row r="670" spans="1:4" x14ac:dyDescent="0.25">
      <c r="A670" s="27"/>
      <c r="B670" s="28"/>
      <c r="C670" s="29"/>
      <c r="D670" s="29"/>
    </row>
    <row r="671" spans="1:4" x14ac:dyDescent="0.25">
      <c r="A671" s="27"/>
      <c r="B671" s="28"/>
      <c r="C671" s="29"/>
      <c r="D671" s="29"/>
    </row>
    <row r="672" spans="1:4" x14ac:dyDescent="0.25">
      <c r="A672" s="27"/>
      <c r="B672" s="28"/>
      <c r="C672" s="29"/>
      <c r="D672" s="29"/>
    </row>
    <row r="673" spans="1:4" x14ac:dyDescent="0.25">
      <c r="A673" s="27"/>
      <c r="B673" s="28"/>
      <c r="C673" s="29"/>
      <c r="D673" s="29"/>
    </row>
    <row r="674" spans="1:4" x14ac:dyDescent="0.25">
      <c r="A674" s="27"/>
      <c r="B674" s="28"/>
      <c r="C674" s="29"/>
      <c r="D674" s="29"/>
    </row>
    <row r="675" spans="1:4" x14ac:dyDescent="0.25">
      <c r="A675" s="27"/>
      <c r="B675" s="28"/>
      <c r="C675" s="29"/>
      <c r="D675" s="29"/>
    </row>
    <row r="676" spans="1:4" x14ac:dyDescent="0.25">
      <c r="A676" s="27"/>
      <c r="B676" s="28"/>
      <c r="C676" s="29"/>
      <c r="D676" s="29"/>
    </row>
    <row r="677" spans="1:4" x14ac:dyDescent="0.25">
      <c r="A677" s="27"/>
      <c r="B677" s="28"/>
      <c r="C677" s="29"/>
      <c r="D677" s="29"/>
    </row>
    <row r="678" spans="1:4" x14ac:dyDescent="0.25">
      <c r="A678" s="27"/>
      <c r="B678" s="28"/>
      <c r="C678" s="29"/>
      <c r="D678" s="29"/>
    </row>
    <row r="679" spans="1:4" x14ac:dyDescent="0.25">
      <c r="A679" s="27"/>
      <c r="B679" s="28"/>
      <c r="C679" s="29"/>
      <c r="D679" s="29"/>
    </row>
  </sheetData>
  <phoneticPr fontId="6" type="noConversion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具名範圍</vt:lpstr>
      </vt:variant>
      <vt:variant>
        <vt:i4>6</vt:i4>
      </vt:variant>
    </vt:vector>
  </HeadingPairs>
  <TitlesOfParts>
    <vt:vector size="24" baseType="lpstr">
      <vt:lpstr>temp</vt:lpstr>
      <vt:lpstr>摘要</vt:lpstr>
      <vt:lpstr>temp2</vt:lpstr>
      <vt:lpstr>資料查詢</vt:lpstr>
      <vt:lpstr>施工日誌2</vt:lpstr>
      <vt:lpstr>監造報表2</vt:lpstr>
      <vt:lpstr>工料</vt:lpstr>
      <vt:lpstr>記事</vt:lpstr>
      <vt:lpstr>No1</vt:lpstr>
      <vt:lpstr>No2</vt:lpstr>
      <vt:lpstr>No3</vt:lpstr>
      <vt:lpstr>基本資料</vt:lpstr>
      <vt:lpstr>進度表輸入</vt:lpstr>
      <vt:lpstr>檢驗項目</vt:lpstr>
      <vt:lpstr>材料管理</vt:lpstr>
      <vt:lpstr>工機輸入</vt:lpstr>
      <vt:lpstr>契約詳細表</vt:lpstr>
      <vt:lpstr>工作天計算</vt:lpstr>
      <vt:lpstr>施工日誌2!Print_Area</vt:lpstr>
      <vt:lpstr>摘要!Print_Area</vt:lpstr>
      <vt:lpstr>監造報表2!Print_Area</vt:lpstr>
      <vt:lpstr>契約詳細表!Print_Titles</vt:lpstr>
      <vt:lpstr>施工日誌2!Print_Titles</vt:lpstr>
      <vt:lpstr>監造報表2!Print_Titles</vt:lpstr>
    </vt:vector>
  </TitlesOfParts>
  <Company>協殿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王俊郎</dc:creator>
  <cp:lastModifiedBy>NEWUSER</cp:lastModifiedBy>
  <cp:lastPrinted>2025-06-25T01:36:29Z</cp:lastPrinted>
  <dcterms:created xsi:type="dcterms:W3CDTF">2001-06-27T03:13:42Z</dcterms:created>
  <dcterms:modified xsi:type="dcterms:W3CDTF">2025-06-25T01:36:32Z</dcterms:modified>
</cp:coreProperties>
</file>